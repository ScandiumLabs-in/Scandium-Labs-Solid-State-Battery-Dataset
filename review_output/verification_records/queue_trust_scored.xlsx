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ust Review Queue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<sst xmlns="http://schemas.openxmlformats.org/spreadsheetml/2006/main" count="602" uniqueCount="321">
  <si>
    <t xml:space="preserve">review_id</t>
  </si>
  <si>
    <t xml:space="preserve">composition</t>
  </si>
  <si>
    <t xml:space="preserve">family</t>
  </si>
  <si>
    <t xml:space="preserve">paper_doi</t>
  </si>
  <si>
    <t xml:space="preserve">reported_value</t>
  </si>
  <si>
    <t xml:space="preserve">verdict</t>
  </si>
  <si>
    <t xml:space="preserve">verdict_score</t>
  </si>
  <si>
    <t xml:space="preserve">family_known</t>
  </si>
  <si>
    <t xml:space="preserve">family_known_score</t>
  </si>
  <si>
    <t xml:space="preserve">flagged</t>
  </si>
  <si>
    <t xml:space="preserve">flag_text</t>
  </si>
  <si>
    <t xml:space="preserve">flag_score</t>
  </si>
  <si>
    <t xml:space="preserve">digit_match</t>
  </si>
  <si>
    <t xml:space="preserve">digit_match_score</t>
  </si>
  <si>
    <t xml:space="preserve">trust_score</t>
  </si>
  <si>
    <t xml:space="preserve">priority_tier</t>
  </si>
  <si>
    <t xml:space="preserve">evidence_note</t>
  </si>
  <si>
    <t xml:space="preserve">review_d5e15f89c32a</t>
  </si>
  <si>
    <t xml:space="preserve">Li1.3Al0.3Ti1.7(PO4)3</t>
  </si>
  <si>
    <t xml:space="preserve">nasicon</t>
  </si>
  <si>
    <t xml:space="preserve">10.3390_nano15010042</t>
  </si>
  <si>
    <t xml:space="preserve">0.001 S/cm</t>
  </si>
  <si>
    <t xml:space="preserve">FOUND</t>
  </si>
  <si>
    <t xml:space="preserve">Nanomaterials 2025 abstract; mentions 1.519e-4 S/cm for a DIFFERENT prior-work sample, not this record's value</t>
  </si>
  <si>
    <t xml:space="preserve">review_e3f0dedd922f</t>
  </si>
  <si>
    <t xml:space="preserve">0.5 eV</t>
  </si>
  <si>
    <t xml:space="preserve">Ea=0.50 eV outside typical range for nasicon [0.20, 0.45] (high)</t>
  </si>
  <si>
    <t xml:space="preserve">Same generic passage as record above - no Ea digits present</t>
  </si>
  <si>
    <t xml:space="preserve">review_ec3b115c7679</t>
  </si>
  <si>
    <t xml:space="preserve">Li1.3Al0.29Y0.01Ti1.7(PO4)3</t>
  </si>
  <si>
    <t xml:space="preserve">8.4e-06 S/cm</t>
  </si>
  <si>
    <t xml:space="preserve">sigma=8.4e-06 S/cm outside typical range for nasicon [1.0e-05, 1.0e-02] (high)</t>
  </si>
  <si>
    <t xml:space="preserve">Citation/editor block - no numeric data</t>
  </si>
  <si>
    <t xml:space="preserve">review_21f0ff978b30</t>
  </si>
  <si>
    <t xml:space="preserve">0.4 eV</t>
  </si>
  <si>
    <t xml:space="preserve">review_676fc82708d2</t>
  </si>
  <si>
    <t xml:space="preserve">Li1.3Al0.25Y0.05Ti1.7(PO4)3</t>
  </si>
  <si>
    <t xml:space="preserve">1.2e-05 S/cm</t>
  </si>
  <si>
    <t xml:space="preserve">review_a926957b7347</t>
  </si>
  <si>
    <t xml:space="preserve">0.3 eV</t>
  </si>
  <si>
    <t xml:space="preserve">review_9392574555b4</t>
  </si>
  <si>
    <t xml:space="preserve">Li1.3Al0.2Y0.1Ti1.7(PO4)3</t>
  </si>
  <si>
    <t xml:space="preserve">2.4e-05 S/cm</t>
  </si>
  <si>
    <t xml:space="preserve">Same generic passage - no digit match</t>
  </si>
  <si>
    <t xml:space="preserve">review_7b456e7a26b5</t>
  </si>
  <si>
    <t xml:space="preserve">0.2 eV</t>
  </si>
  <si>
    <t xml:space="preserve">review_cbe0d92e23ba</t>
  </si>
  <si>
    <t xml:space="preserve">Li1.3Al0.15Y0.15Ti1.7(PO4)3</t>
  </si>
  <si>
    <t xml:space="preserve">8.4e-05 S/cm</t>
  </si>
  <si>
    <t xml:space="preserve">review_c431f40f0a39</t>
  </si>
  <si>
    <t xml:space="preserve">0.1 eV</t>
  </si>
  <si>
    <t xml:space="preserve">Ea=0.10 eV outside typical range for nasicon [0.20, 0.45] (high)</t>
  </si>
  <si>
    <t xml:space="preserve">review_3a9e12710588</t>
  </si>
  <si>
    <t xml:space="preserve">Li1.3Al0.3Ti1.7(PO4)3-PVDF-HFP</t>
  </si>
  <si>
    <t xml:space="preserve">polymer_composite</t>
  </si>
  <si>
    <t xml:space="preserve">10.1016_j.heliyon.2024.e28097</t>
  </si>
  <si>
    <t xml:space="preserve">0.0001 S/cm</t>
  </si>
  <si>
    <t xml:space="preserve">Heliyon abstract/author list - no digit match</t>
  </si>
  <si>
    <t xml:space="preserve">review_701321cdf3eb</t>
  </si>
  <si>
    <t xml:space="preserve">Ea=0.20 eV outside typical range for polymer_composite [0.30, 1.50] (high)</t>
  </si>
  <si>
    <t xml:space="preserve">Same abstract passage - no digit match</t>
  </si>
  <si>
    <t xml:space="preserve">review_31bd8d204ef4</t>
  </si>
  <si>
    <t xml:space="preserve">Li10GeP2S12</t>
  </si>
  <si>
    <t xml:space="preserve">sulfide</t>
  </si>
  <si>
    <t xml:space="preserve">10.1002_adma.202513255</t>
  </si>
  <si>
    <t xml:space="preserve">1e-05 S/cm</t>
  </si>
  <si>
    <t xml:space="preserve">Review abstract - no digit match</t>
  </si>
  <si>
    <t xml:space="preserve">review_a409f4983914</t>
  </si>
  <si>
    <t xml:space="preserve">review_135d95c5cb58</t>
  </si>
  <si>
    <t xml:space="preserve">Li3InCl6</t>
  </si>
  <si>
    <t xml:space="preserve">halide</t>
  </si>
  <si>
    <t xml:space="preserve">Table 2 shown is for Li7P3S11 series, not Li3InCl6 - mismatched table</t>
  </si>
  <si>
    <t xml:space="preserve">review_9c30d01aacda</t>
  </si>
  <si>
    <t xml:space="preserve">Ea=0.10 eV outside typical range for halide [0.25, 0.50] (high)</t>
  </si>
  <si>
    <t xml:space="preserve">review_b1aa6a45d39c</t>
  </si>
  <si>
    <t xml:space="preserve">Li7La3Zr2O12</t>
  </si>
  <si>
    <t xml:space="preserve">garnet</t>
  </si>
  <si>
    <t xml:space="preserve">consensus-outlier: sigma 1.00e-05 is 72x from Li7La3Zr2O12 median 7.18e-04 (n=4) (high)</t>
  </si>
  <si>
    <t xml:space="preserve">review_8140ef90021a</t>
  </si>
  <si>
    <t xml:space="preserve">review_38863c4d19d4</t>
  </si>
  <si>
    <t xml:space="preserve">Li6.4La3Zr1.4Ta0.6O12</t>
  </si>
  <si>
    <t xml:space="preserve">10.1002_advs.202207744</t>
  </si>
  <si>
    <t xml:space="preserve">0.0008036 S/cm</t>
  </si>
  <si>
    <t xml:space="preserve">PARTIAL</t>
  </si>
  <si>
    <t xml:space="preserve">(no evidence sentence returned)</t>
  </si>
  <si>
    <t xml:space="preserve">review_7d3e24183041</t>
  </si>
  <si>
    <t xml:space="preserve">Li6PS4Cl0.75-OF0.25</t>
  </si>
  <si>
    <t xml:space="preserve">argyrodite</t>
  </si>
  <si>
    <t xml:space="preserve">10.1002_advs.202304117</t>
  </si>
  <si>
    <t xml:space="preserve">2.47e-06 S/cm</t>
  </si>
  <si>
    <t xml:space="preserve">sigma=2.5e-06 S/cm outside typical range for sulfide [1.0e-05, 1.0e-01] (high)</t>
  </si>
  <si>
    <t xml:space="preserve">Article title/abstract - no digit match</t>
  </si>
  <si>
    <t xml:space="preserve">review_a5456f7f2481</t>
  </si>
  <si>
    <t xml:space="preserve">10.1002_advs.202403208</t>
  </si>
  <si>
    <t xml:space="preserve">0.00403 S/cm</t>
  </si>
  <si>
    <t xml:space="preserve">Article title/abstract - no digit match (8 records from this paper share same generic passage)</t>
  </si>
  <si>
    <t xml:space="preserve">review_f2646cc56550</t>
  </si>
  <si>
    <t xml:space="preserve">0.22 eV</t>
  </si>
  <si>
    <t xml:space="preserve">Ea=0.22 eV outside typical range for halide [0.25, 0.50] (high)</t>
  </si>
  <si>
    <t xml:space="preserve">review_2c3fc841adab</t>
  </si>
  <si>
    <t xml:space="preserve">0.00367 S/cm</t>
  </si>
  <si>
    <t xml:space="preserve">review_e797d5a9bde7</t>
  </si>
  <si>
    <t xml:space="preserve">0.23 eV</t>
  </si>
  <si>
    <t xml:space="preserve">Ea=0.23 eV outside typical range for halide [0.25, 0.50] (high)</t>
  </si>
  <si>
    <t xml:space="preserve">review_21fc2c65ce71</t>
  </si>
  <si>
    <t xml:space="preserve">0.00307 S/cm</t>
  </si>
  <si>
    <t xml:space="preserve">review_4fa2634d2989</t>
  </si>
  <si>
    <t xml:space="preserve">0.25 eV</t>
  </si>
  <si>
    <t xml:space="preserve">review_40ed3d2029c8</t>
  </si>
  <si>
    <t xml:space="preserve">0.00272 S/cm</t>
  </si>
  <si>
    <t xml:space="preserve">review_68da28feee27</t>
  </si>
  <si>
    <t xml:space="preserve">0.27 eV</t>
  </si>
  <si>
    <t xml:space="preserve">review_d9dbed3b05d4</t>
  </si>
  <si>
    <t xml:space="preserve">Li6.7Ge0.595Si0.105P0.3S5I</t>
  </si>
  <si>
    <t xml:space="preserve">10.1002_smll.202509918</t>
  </si>
  <si>
    <t xml:space="preserve">0.00072 S/cm</t>
  </si>
  <si>
    <t xml:space="preserve">Article abstract - no digit match</t>
  </si>
  <si>
    <t xml:space="preserve">review_387a344ad613</t>
  </si>
  <si>
    <t xml:space="preserve">review_72769deff6f5</t>
  </si>
  <si>
    <t xml:space="preserve">0.01 S/cm</t>
  </si>
  <si>
    <t xml:space="preserve">review_d039e8d42245</t>
  </si>
  <si>
    <t xml:space="preserve">Li9.54Si1.74P1.44S11.7Cl0.3</t>
  </si>
  <si>
    <t xml:space="preserve">0.025 S/cm</t>
  </si>
  <si>
    <t xml:space="preserve">ionic conductivity reached 2.5e-2 S/cm (twice that of LGPS) - value MATCHES directly</t>
  </si>
  <si>
    <t xml:space="preserve">review_9b1d55ed99bb</t>
  </si>
  <si>
    <t xml:space="preserve">Li9.54[Si0.6Ge0.4]1.74P1.44S11.1Br0.3O0.6</t>
  </si>
  <si>
    <t xml:space="preserve">0.032 S/cm</t>
  </si>
  <si>
    <t xml:space="preserve">demonstrated conductivity of 3.2e-2 S/cm - value MATCHES directly</t>
  </si>
  <si>
    <t xml:space="preserve">review_88203c54c36f</t>
  </si>
  <si>
    <t xml:space="preserve">Li6PS5I</t>
  </si>
  <si>
    <t xml:space="preserve">1e-06 S/cm</t>
  </si>
  <si>
    <t xml:space="preserve">sigma=1.0e-06 S/cm outside typical range for sulfide [1.0e-05, 1.0e-01] (high)</t>
  </si>
  <si>
    <t xml:space="preserve">Figure 1 caption re ML regression - no digit match</t>
  </si>
  <si>
    <t xml:space="preserve">review_11f6692d2220</t>
  </si>
  <si>
    <t xml:space="preserve">LiBH4</t>
  </si>
  <si>
    <t xml:space="preserve">borohydride</t>
  </si>
  <si>
    <t xml:space="preserve">10.1007_s00339-016-9807-2</t>
  </si>
  <si>
    <t xml:space="preserve">at least 10-4 to 10-3 S/cm at RT - range matches order of magnitude only</t>
  </si>
  <si>
    <t xml:space="preserve">review_eb0f44703c01</t>
  </si>
  <si>
    <t xml:space="preserve">0.39 eV</t>
  </si>
  <si>
    <t xml:space="preserve">Same passage - no Ea digit match</t>
  </si>
  <si>
    <t xml:space="preserve">review_37061c1a3535</t>
  </si>
  <si>
    <t xml:space="preserve">LiBH4/SiO2</t>
  </si>
  <si>
    <t xml:space="preserve">review_e0bba71581b8</t>
  </si>
  <si>
    <t xml:space="preserve">Li2(-BH4)(NH2)</t>
  </si>
  <si>
    <t xml:space="preserve">review_adee439881db</t>
  </si>
  <si>
    <t xml:space="preserve">Li4(BH-4)(NH2)3</t>
  </si>
  <si>
    <t xml:space="preserve">review_1b8cc005ba60</t>
  </si>
  <si>
    <t xml:space="preserve">Na2(BH4)(NH2)</t>
  </si>
  <si>
    <t xml:space="preserve">unknown</t>
  </si>
  <si>
    <t xml:space="preserve">review_bab68e24303d</t>
  </si>
  <si>
    <t xml:space="preserve">PEO-LiTFSI-LLZTO-SN-ETPTA</t>
  </si>
  <si>
    <t xml:space="preserve">10.1007_s11581-024-05451-2</t>
  </si>
  <si>
    <t xml:space="preserve">0.000212 S/cm</t>
  </si>
  <si>
    <t xml:space="preserve">Abstract describes composite design - no digit match</t>
  </si>
  <si>
    <t xml:space="preserve">review_09b680d468ff</t>
  </si>
  <si>
    <t xml:space="preserve">LiTFSI-SN</t>
  </si>
  <si>
    <t xml:space="preserve">hydride</t>
  </si>
  <si>
    <t xml:space="preserve">10.1007_s40820-024-01592-1</t>
  </si>
  <si>
    <t xml:space="preserve">0.0015 S/cm</t>
  </si>
  <si>
    <t xml:space="preserve">sigma=1.5e-03 S/cm outside typical range for hydride [1.0e-08, 1.0e-03] (high)</t>
  </si>
  <si>
    <t xml:space="preserve">Methods section (characterization instruments) - no digit match; family likely misclassified</t>
  </si>
  <si>
    <t xml:space="preserve">review_30e62f16cdb5</t>
  </si>
  <si>
    <t xml:space="preserve">Ea=0.23 eV outside typical range for hydride [0.30, 0.80] (high)</t>
  </si>
  <si>
    <t xml:space="preserve">Same methods passage - no digit match; family likely misclassified</t>
  </si>
  <si>
    <t xml:space="preserve">review_28fe080c3dcd</t>
  </si>
  <si>
    <t xml:space="preserve">LiTFSI-SN-FEC</t>
  </si>
  <si>
    <t xml:space="preserve">0.0021 S/cm</t>
  </si>
  <si>
    <t xml:space="preserve">sigma=2.1e-03 S/cm outside typical range for polymer_composite [1.0e-08, 1.0e-03] (high)</t>
  </si>
  <si>
    <t xml:space="preserve">Same methods passage - no digit match</t>
  </si>
  <si>
    <t xml:space="preserve">review_91176672b603</t>
  </si>
  <si>
    <t xml:space="preserve">0.18 eV</t>
  </si>
  <si>
    <t xml:space="preserve">Ea=0.18 eV outside typical range for polymer_composite [0.30, 1.50] (high)</t>
  </si>
  <si>
    <t xml:space="preserve">review_17a3c49bf9de</t>
  </si>
  <si>
    <t xml:space="preserve">Li6.8-0.25Ge0.05La3Zr1.75Ta0.25O12</t>
  </si>
  <si>
    <t xml:space="preserve">10.1016_j.ceramint.2023.09.330</t>
  </si>
  <si>
    <t xml:space="preserve">0.000661 S/cm</t>
  </si>
  <si>
    <t xml:space="preserve">Title/author block - no digit match</t>
  </si>
  <si>
    <t xml:space="preserve">review_cdd2ea03180f</t>
  </si>
  <si>
    <t xml:space="preserve">review_41ab4a785e07</t>
  </si>
  <si>
    <t xml:space="preserve">10.1016_j.heliyon.2024.e36206</t>
  </si>
  <si>
    <t xml:space="preserve">0.00104 S/cm</t>
  </si>
  <si>
    <t xml:space="preserve">Heliyon title/author block - no digit match</t>
  </si>
  <si>
    <t xml:space="preserve">review_ec9526d0b638</t>
  </si>
  <si>
    <t xml:space="preserve">10.1016_j.jallcom.2019.153072</t>
  </si>
  <si>
    <t xml:space="preserve">0.00015 S/cm</t>
  </si>
  <si>
    <t xml:space="preserve">highest value of sigma_tot = 1.5e-4 S/cm for LATP-0.1LBSO - value MATCHES directly</t>
  </si>
  <si>
    <t xml:space="preserve">review_5fcf71469252</t>
  </si>
  <si>
    <t xml:space="preserve">Li1.3Al0.3Ti1.7(PO4)3-0.1Li2.9B0.9S0.1O3.1</t>
  </si>
  <si>
    <t xml:space="preserve">Same value 1.5e-4 S/cm - MATCHES directly</t>
  </si>
  <si>
    <t xml:space="preserve">review_b1bf027a04a8</t>
  </si>
  <si>
    <t xml:space="preserve">Li2OHCl</t>
  </si>
  <si>
    <t xml:space="preserve">10.1021_acs.chemmater.0c02602</t>
  </si>
  <si>
    <t xml:space="preserve">1.4e-06 S/cm</t>
  </si>
  <si>
    <t xml:space="preserve">review_cd341280d606</t>
  </si>
  <si>
    <t xml:space="preserve">Li6.5La3Zr1.5Ta0.5O12</t>
  </si>
  <si>
    <t xml:space="preserve">10.1038_s41467-020-17493-x</t>
  </si>
  <si>
    <t xml:space="preserve">0.0004 S/cm</t>
  </si>
  <si>
    <t xml:space="preserve">Intro motivation paragraph - no digit match</t>
  </si>
  <si>
    <t xml:space="preserve">review_6d2cb9090bbd</t>
  </si>
  <si>
    <t xml:space="preserve">0.36 eV</t>
  </si>
  <si>
    <t xml:space="preserve">Same intro paragraph - no digit match</t>
  </si>
  <si>
    <t xml:space="preserve">review_be5f12984760</t>
  </si>
  <si>
    <t xml:space="preserve">LiTFSI-PC(quasi-solid)</t>
  </si>
  <si>
    <t xml:space="preserve">10.1038_s41467-022-29118-6</t>
  </si>
  <si>
    <t xml:space="preserve">0.00012 S/cm</t>
  </si>
  <si>
    <t xml:space="preserve">Intro re quasi-solid concept - no digit match</t>
  </si>
  <si>
    <t xml:space="preserve">review_c66f3105599e</t>
  </si>
  <si>
    <t xml:space="preserve">Same intro passage - no digit match</t>
  </si>
  <si>
    <t xml:space="preserve">review_561c8e37575f</t>
  </si>
  <si>
    <t xml:space="preserve">Li6PS5Cl</t>
  </si>
  <si>
    <t xml:space="preserve">10.1038_s42004-025-01609-9</t>
  </si>
  <si>
    <t xml:space="preserve">review_4ca7c0c68cb5</t>
  </si>
  <si>
    <t xml:space="preserve">10.1038_srep18053</t>
  </si>
  <si>
    <t xml:space="preserve">0.000614 S/cm</t>
  </si>
  <si>
    <t xml:space="preserve">Title/author block re multi-doping LLZO - no digit match</t>
  </si>
  <si>
    <t xml:space="preserve">review_ba8026492adc</t>
  </si>
  <si>
    <t xml:space="preserve">80(3LiBH4LiCl)20P2S5</t>
  </si>
  <si>
    <t xml:space="preserve">10.1039_d0cp01334j</t>
  </si>
  <si>
    <t xml:space="preserve">Title/DOI block - no digit match; family likely misclassified (borohydride-sulfide glass, not argyrodite)</t>
  </si>
  <si>
    <t xml:space="preserve">review_08fec76ea384</t>
  </si>
  <si>
    <t xml:space="preserve">10.1039_d5ra09944g</t>
  </si>
  <si>
    <t xml:space="preserve">0.00019 S/cm</t>
  </si>
  <si>
    <t xml:space="preserve">Title/abstract re PEO-NASICON composite - no digit match</t>
  </si>
  <si>
    <t xml:space="preserve">review_d1818b959394</t>
  </si>
  <si>
    <t xml:space="preserve">Li4-xGe1-xPxO4</t>
  </si>
  <si>
    <t xml:space="preserve">oxide</t>
  </si>
  <si>
    <t xml:space="preserve">10.1039_d5ta07144e</t>
  </si>
  <si>
    <t xml:space="preserve">Title/abstract re LISICON thin film - no digit match</t>
  </si>
  <si>
    <t xml:space="preserve">review_0ad6428e987e</t>
  </si>
  <si>
    <t xml:space="preserve">0.47 eV</t>
  </si>
  <si>
    <t xml:space="preserve">Same passage - no digit match</t>
  </si>
  <si>
    <t xml:space="preserve">review_3073de552fb8</t>
  </si>
  <si>
    <t xml:space="preserve">Li1oGeP2S12</t>
  </si>
  <si>
    <t xml:space="preserve">10.1126_science.abq1347</t>
  </si>
  <si>
    <t xml:space="preserve">0.00052 S/cm</t>
  </si>
  <si>
    <t xml:space="preserve">SCRIBED</t>
  </si>
  <si>
    <t xml:space="preserve">verifier returned pages=? - no real evidence retrieved; composition also has OCR typo (1o vs 10)</t>
  </si>
  <si>
    <t xml:space="preserve">review_d80c0d8e210a</t>
  </si>
  <si>
    <t xml:space="preserve">PEO/mPEO-TMS/LITFSI</t>
  </si>
  <si>
    <t xml:space="preserve">6e-05 S/cm</t>
  </si>
  <si>
    <t xml:space="preserve">verifier returned pages=? - no real evidence retrieved</t>
  </si>
  <si>
    <t xml:space="preserve">review_3da3503bdeb7</t>
  </si>
  <si>
    <t xml:space="preserve">PEO</t>
  </si>
  <si>
    <t xml:space="preserve">3.5e-05 S/cm</t>
  </si>
  <si>
    <t xml:space="preserve">review_196f92a4654d</t>
  </si>
  <si>
    <t xml:space="preserve">UiO-66/PEO</t>
  </si>
  <si>
    <t xml:space="preserve">10.15541_jim20200206</t>
  </si>
  <si>
    <t xml:space="preserve">3e-05 S/cm</t>
  </si>
  <si>
    <t xml:space="preserve">MOF-5 filler for PEO obtained 3.16e-5 S/cm (25C) - close match but different MOF (MOF-5 vs UiO-66)</t>
  </si>
  <si>
    <t xml:space="preserve">review_6e18baabda92</t>
  </si>
  <si>
    <t xml:space="preserve">Li6.4Ga0.2La3Zr2O12</t>
  </si>
  <si>
    <t xml:space="preserve">10.16984_saufenbilder.1590407</t>
  </si>
  <si>
    <t xml:space="preserve">0.000104 S/cm</t>
  </si>
  <si>
    <t xml:space="preserve">Title/author block re Ga-doped LLZO - no digit match</t>
  </si>
  <si>
    <t xml:space="preserve">review_6819b59fb86f</t>
  </si>
  <si>
    <t xml:space="preserve">10.20517_energymater.2023.87</t>
  </si>
  <si>
    <t xml:space="preserve">0.000839 S/cm</t>
  </si>
  <si>
    <t xml:space="preserve">Citation/license block - no digit match</t>
  </si>
  <si>
    <t xml:space="preserve">review_a5742cd7132d</t>
  </si>
  <si>
    <t xml:space="preserve">Li2O-TaCl5</t>
  </si>
  <si>
    <t xml:space="preserve">10.20517_energymater.2024.277</t>
  </si>
  <si>
    <t xml:space="preserve">0.0083 S/cm</t>
  </si>
  <si>
    <t xml:space="preserve">review_b9cbb9f218ab</t>
  </si>
  <si>
    <t xml:space="preserve">Li1+xAlxTi2-x(PO4)3</t>
  </si>
  <si>
    <t xml:space="preserve">10.3363_PRB1992.19.0_130</t>
  </si>
  <si>
    <t xml:space="preserve">review_85de9e0f96f5</t>
  </si>
  <si>
    <t xml:space="preserve">PVDF-HFP</t>
  </si>
  <si>
    <t xml:space="preserve">10.3390_gels12060534</t>
  </si>
  <si>
    <t xml:space="preserve">4.2e-05 S/cm</t>
  </si>
  <si>
    <t xml:space="preserve">Intro re thermal runaway motivation - no digit match</t>
  </si>
  <si>
    <t xml:space="preserve">review_6095cd375f95</t>
  </si>
  <si>
    <t xml:space="preserve">PVDF-HFP-LATP(5wt%)</t>
  </si>
  <si>
    <t xml:space="preserve">0.000235 S/cm</t>
  </si>
  <si>
    <t xml:space="preserve">Methods description of study design - no digit match; value 0.000235 IDENTICAL across 5 records from this paper</t>
  </si>
  <si>
    <t xml:space="preserve">review_749c71e01213</t>
  </si>
  <si>
    <t xml:space="preserve">PVDF-HFP-LATP(10wt%)</t>
  </si>
  <si>
    <t xml:space="preserve">Identical evidence sentence AND value to LATP(5wt%) - suspected duplication error</t>
  </si>
  <si>
    <t xml:space="preserve">review_e734d8da3e7c</t>
  </si>
  <si>
    <t xml:space="preserve">PVDF-HFP-LATP(15wt%)</t>
  </si>
  <si>
    <t xml:space="preserve">Identical evidence sentence AND value to other LATP variants - suspected duplication error</t>
  </si>
  <si>
    <t xml:space="preserve">review_7aab0c3046ee</t>
  </si>
  <si>
    <t xml:space="preserve">PVDF-HFP-LLZTO(5wt%)</t>
  </si>
  <si>
    <t xml:space="preserve">Identical evidence sentence AND value to LATP variants - suspected duplication error</t>
  </si>
  <si>
    <t xml:space="preserve">review_0ac4661f0528</t>
  </si>
  <si>
    <t xml:space="preserve">PVDF-HFP-LLZTO(10wt%)</t>
  </si>
  <si>
    <t xml:space="preserve">0.00034 S/cm</t>
  </si>
  <si>
    <t xml:space="preserve">Article header/editor info - differs from other variants' 0.000235 but still no digit match</t>
  </si>
  <si>
    <t xml:space="preserve">review_cdf212ca6073</t>
  </si>
  <si>
    <t xml:space="preserve">PVDF-HFP-LLZTO(15wt%)</t>
  </si>
  <si>
    <t xml:space="preserve">review_d24f9d05c79a</t>
  </si>
  <si>
    <t xml:space="preserve">10.3390_membranes13020201</t>
  </si>
  <si>
    <t xml:space="preserve">0.000283 S/cm</t>
  </si>
  <si>
    <t xml:space="preserve">Citation/author block - no digit match</t>
  </si>
  <si>
    <t xml:space="preserve">Trust score legend</t>
  </si>
  <si>
    <t xml:space="preserve">Score component</t>
  </si>
  <si>
    <t xml:space="preserve">Weight</t>
  </si>
  <si>
    <t xml:space="preserve">What it measures</t>
  </si>
  <si>
    <t xml:space="preserve">0.25</t>
  </si>
  <si>
    <t xml:space="preserve">FOUND=1 / PARTIAL=0.5 / SCRIBED or other=0 (verifier's raw verdict)</t>
  </si>
  <si>
    <t xml:space="preserve">0.15</t>
  </si>
  <si>
    <t xml:space="preserve">1 if family is a named class (nasicon, garnet, etc.), 0 if 'unknown'</t>
  </si>
  <si>
    <t xml:space="preserve">1 if no automated physics/consensus-outlier flag was raised, 0 if flagged</t>
  </si>
  <si>
    <t xml:space="preserve">0.35</t>
  </si>
  <si>
    <t xml:space="preserve">1 if the exact reported number actually appears in the cited evidence sentence, 0 if the evidence is generic boilerplate (abstract/citation block) with no matching digits</t>
  </si>
  <si>
    <t xml:space="preserve">Priority tiers</t>
  </si>
  <si>
    <t xml:space="preserve">Tier</t>
  </si>
  <si>
    <t xml:space="preserve">Trust score</t>
  </si>
  <si>
    <t xml:space="preserve">Action</t>
  </si>
  <si>
    <t xml:space="preserve">A - likely reliable</t>
  </si>
  <si>
    <t xml:space="preserve">&gt;= 0.75</t>
  </si>
  <si>
    <t xml:space="preserve">Fast-track human verification</t>
  </si>
  <si>
    <t xml:space="preserve">B - review carefully</t>
  </si>
  <si>
    <t xml:space="preserve">0.50 - 0.749</t>
  </si>
  <si>
    <t xml:space="preserve">Standard human review</t>
  </si>
  <si>
    <t xml:space="preserve">C - low trust</t>
  </si>
  <si>
    <t xml:space="preserve">0.25 - 0.499</t>
  </si>
  <si>
    <t xml:space="preserve">Re-check against full paper text before review</t>
  </si>
  <si>
    <t xml:space="preserve">D - reject/re-extract</t>
  </si>
  <si>
    <t xml:space="preserve">&lt; 0.25</t>
  </si>
  <si>
    <t xml:space="preserve">Send back to extraction pipeline; don't spend reviewer time yet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</si>
</sst>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9" min="7" style="0" width="9"/>
    <col collapsed="false" customWidth="true" hidden="false" outlineLevel="0" max="10" min="10" style="0" width="8"/>
    <col collapsed="false" customWidth="true" hidden="false" outlineLevel="0" max="11" min="11" style="0" width="34"/>
    <col collapsed="false" customWidth="true" hidden="false" outlineLevel="0" max="12" min="12" style="0" width="8"/>
    <col collapsed="false" customWidth="true" hidden="false" outlineLevel="0" max="15" min="13" style="0" width="9"/>
    <col collapsed="false" customWidth="true" hidden="false" outlineLevel="0" max="16" min="16" style="0" width="20"/>
    <col collapsed="false" customWidth="true" hidden="false" outlineLevel="0" max="17" min="17" style="0" width="44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35.0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n">
        <f aca="false">IF(F2="FOUND",1,IF(F2="PARTIAL",0.5,0))</f>
        <v>1</v>
      </c>
      <c r="H2" s="2" t="n">
        <v>1</v>
      </c>
      <c r="I2" s="2" t="n">
        <f aca="false">H2*1</f>
        <v>1</v>
      </c>
      <c r="J2" s="2" t="n">
        <v>0</v>
      </c>
      <c r="K2" s="2"/>
      <c r="L2" s="2" t="n">
        <f aca="false">IF(J2=1,0,1)</f>
        <v>1</v>
      </c>
      <c r="M2" s="2" t="n">
        <v>0</v>
      </c>
      <c r="N2" s="2" t="n">
        <f aca="false">M2*1</f>
        <v>0</v>
      </c>
      <c r="O2" s="3" t="n">
        <f aca="false">ROUND(G2*0.25+I2*0.15+L2*0.25+N2*0.35,2)</f>
        <v>0.65</v>
      </c>
      <c r="P2" s="2" t="str">
        <f aca="false">IF(O2&gt;=0.75,"A - likely reliable",IF(O2&gt;=0.5,"B - review carefully",IF(O2&gt;=0.25,"C - low trust","D - reject/re-extract")))</f>
        <v>B - review carefully</v>
      </c>
      <c r="Q2" s="2" t="s">
        <v>23</v>
      </c>
    </row>
    <row r="3" customFormat="false" ht="23.85" hidden="false" customHeight="false" outlineLevel="0" collapsed="false">
      <c r="A3" s="2" t="s">
        <v>24</v>
      </c>
      <c r="B3" s="2" t="s">
        <v>18</v>
      </c>
      <c r="C3" s="2" t="s">
        <v>19</v>
      </c>
      <c r="D3" s="2" t="s">
        <v>20</v>
      </c>
      <c r="E3" s="2" t="s">
        <v>25</v>
      </c>
      <c r="F3" s="2" t="s">
        <v>22</v>
      </c>
      <c r="G3" s="2" t="n">
        <f aca="false">IF(F3="FOUND",1,IF(F3="PARTIAL",0.5,0))</f>
        <v>1</v>
      </c>
      <c r="H3" s="2" t="n">
        <v>1</v>
      </c>
      <c r="I3" s="2" t="n">
        <f aca="false">H3*1</f>
        <v>1</v>
      </c>
      <c r="J3" s="2" t="n">
        <v>1</v>
      </c>
      <c r="K3" s="2" t="s">
        <v>26</v>
      </c>
      <c r="L3" s="2" t="n">
        <f aca="false">IF(J3=1,0,1)</f>
        <v>0</v>
      </c>
      <c r="M3" s="2" t="n">
        <v>0</v>
      </c>
      <c r="N3" s="2" t="n">
        <f aca="false">M3*1</f>
        <v>0</v>
      </c>
      <c r="O3" s="3" t="n">
        <f aca="false">ROUND(G3*0.25+I3*0.15+L3*0.25+N3*0.35,2)</f>
        <v>0.4</v>
      </c>
      <c r="P3" s="2" t="str">
        <f aca="false">IF(O3&gt;=0.75,"A - likely reliable",IF(O3&gt;=0.5,"B - review carefully",IF(O3&gt;=0.25,"C - low trust","D - reject/re-extract")))</f>
        <v>C - low trust</v>
      </c>
      <c r="Q3" s="2" t="s">
        <v>27</v>
      </c>
    </row>
    <row r="4" customFormat="false" ht="35.05" hidden="false" customHeight="false" outlineLevel="0" collapsed="false">
      <c r="A4" s="2" t="s">
        <v>28</v>
      </c>
      <c r="B4" s="2" t="s">
        <v>29</v>
      </c>
      <c r="C4" s="2" t="s">
        <v>19</v>
      </c>
      <c r="D4" s="2" t="s">
        <v>20</v>
      </c>
      <c r="E4" s="2" t="s">
        <v>30</v>
      </c>
      <c r="F4" s="2" t="s">
        <v>22</v>
      </c>
      <c r="G4" s="2" t="n">
        <f aca="false">IF(F4="FOUND",1,IF(F4="PARTIAL",0.5,0))</f>
        <v>1</v>
      </c>
      <c r="H4" s="2" t="n">
        <v>1</v>
      </c>
      <c r="I4" s="2" t="n">
        <f aca="false">H4*1</f>
        <v>1</v>
      </c>
      <c r="J4" s="2" t="n">
        <v>1</v>
      </c>
      <c r="K4" s="2" t="s">
        <v>31</v>
      </c>
      <c r="L4" s="2" t="n">
        <f aca="false">IF(J4=1,0,1)</f>
        <v>0</v>
      </c>
      <c r="M4" s="2" t="n">
        <v>0</v>
      </c>
      <c r="N4" s="2" t="n">
        <f aca="false">M4*1</f>
        <v>0</v>
      </c>
      <c r="O4" s="3" t="n">
        <f aca="false">ROUND(G4*0.25+I4*0.15+L4*0.25+N4*0.35,2)</f>
        <v>0.4</v>
      </c>
      <c r="P4" s="2" t="str">
        <f aca="false">IF(O4&gt;=0.75,"A - likely reliable",IF(O4&gt;=0.5,"B - review carefully",IF(O4&gt;=0.25,"C - low trust","D - reject/re-extract")))</f>
        <v>C - low trust</v>
      </c>
      <c r="Q4" s="2" t="s">
        <v>32</v>
      </c>
    </row>
    <row r="5" customFormat="false" ht="23.85" hidden="false" customHeight="false" outlineLevel="0" collapsed="false">
      <c r="A5" s="2" t="s">
        <v>33</v>
      </c>
      <c r="B5" s="2" t="s">
        <v>29</v>
      </c>
      <c r="C5" s="2" t="s">
        <v>19</v>
      </c>
      <c r="D5" s="2" t="s">
        <v>20</v>
      </c>
      <c r="E5" s="2" t="s">
        <v>34</v>
      </c>
      <c r="F5" s="2" t="s">
        <v>22</v>
      </c>
      <c r="G5" s="2" t="n">
        <f aca="false">IF(F5="FOUND",1,IF(F5="PARTIAL",0.5,0))</f>
        <v>1</v>
      </c>
      <c r="H5" s="2" t="n">
        <v>1</v>
      </c>
      <c r="I5" s="2" t="n">
        <f aca="false">H5*1</f>
        <v>1</v>
      </c>
      <c r="J5" s="2" t="n">
        <v>0</v>
      </c>
      <c r="K5" s="2"/>
      <c r="L5" s="2" t="n">
        <f aca="false">IF(J5=1,0,1)</f>
        <v>1</v>
      </c>
      <c r="M5" s="2" t="n">
        <v>0</v>
      </c>
      <c r="N5" s="2" t="n">
        <f aca="false">M5*1</f>
        <v>0</v>
      </c>
      <c r="O5" s="3" t="n">
        <f aca="false">ROUND(G5*0.25+I5*0.15+L5*0.25+N5*0.35,2)</f>
        <v>0.65</v>
      </c>
      <c r="P5" s="2" t="str">
        <f aca="false">IF(O5&gt;=0.75,"A - likely reliable",IF(O5&gt;=0.5,"B - review carefully",IF(O5&gt;=0.25,"C - low trust","D - reject/re-extract")))</f>
        <v>B - review carefully</v>
      </c>
      <c r="Q5" s="2" t="s">
        <v>32</v>
      </c>
    </row>
    <row r="6" customFormat="false" ht="23.85" hidden="false" customHeight="false" outlineLevel="0" collapsed="false">
      <c r="A6" s="2" t="s">
        <v>35</v>
      </c>
      <c r="B6" s="2" t="s">
        <v>36</v>
      </c>
      <c r="C6" s="2" t="s">
        <v>19</v>
      </c>
      <c r="D6" s="2" t="s">
        <v>20</v>
      </c>
      <c r="E6" s="2" t="s">
        <v>37</v>
      </c>
      <c r="F6" s="2" t="s">
        <v>22</v>
      </c>
      <c r="G6" s="2" t="n">
        <f aca="false">IF(F6="FOUND",1,IF(F6="PARTIAL",0.5,0))</f>
        <v>1</v>
      </c>
      <c r="H6" s="2" t="n">
        <v>1</v>
      </c>
      <c r="I6" s="2" t="n">
        <f aca="false">H6*1</f>
        <v>1</v>
      </c>
      <c r="J6" s="2" t="n">
        <v>0</v>
      </c>
      <c r="K6" s="2"/>
      <c r="L6" s="2" t="n">
        <f aca="false">IF(J6=1,0,1)</f>
        <v>1</v>
      </c>
      <c r="M6" s="2" t="n">
        <v>0</v>
      </c>
      <c r="N6" s="2" t="n">
        <f aca="false">M6*1</f>
        <v>0</v>
      </c>
      <c r="O6" s="3" t="n">
        <f aca="false">ROUND(G6*0.25+I6*0.15+L6*0.25+N6*0.35,2)</f>
        <v>0.65</v>
      </c>
      <c r="P6" s="2" t="str">
        <f aca="false">IF(O6&gt;=0.75,"A - likely reliable",IF(O6&gt;=0.5,"B - review carefully",IF(O6&gt;=0.25,"C - low trust","D - reject/re-extract")))</f>
        <v>B - review carefully</v>
      </c>
      <c r="Q6" s="2" t="s">
        <v>32</v>
      </c>
    </row>
    <row r="7" customFormat="false" ht="23.85" hidden="false" customHeight="false" outlineLevel="0" collapsed="false">
      <c r="A7" s="2" t="s">
        <v>38</v>
      </c>
      <c r="B7" s="2" t="s">
        <v>36</v>
      </c>
      <c r="C7" s="2" t="s">
        <v>19</v>
      </c>
      <c r="D7" s="2" t="s">
        <v>20</v>
      </c>
      <c r="E7" s="2" t="s">
        <v>39</v>
      </c>
      <c r="F7" s="2" t="s">
        <v>22</v>
      </c>
      <c r="G7" s="2" t="n">
        <f aca="false">IF(F7="FOUND",1,IF(F7="PARTIAL",0.5,0))</f>
        <v>1</v>
      </c>
      <c r="H7" s="2" t="n">
        <v>1</v>
      </c>
      <c r="I7" s="2" t="n">
        <f aca="false">H7*1</f>
        <v>1</v>
      </c>
      <c r="J7" s="2" t="n">
        <v>0</v>
      </c>
      <c r="K7" s="2"/>
      <c r="L7" s="2" t="n">
        <f aca="false">IF(J7=1,0,1)</f>
        <v>1</v>
      </c>
      <c r="M7" s="2" t="n">
        <v>0</v>
      </c>
      <c r="N7" s="2" t="n">
        <f aca="false">M7*1</f>
        <v>0</v>
      </c>
      <c r="O7" s="3" t="n">
        <f aca="false">ROUND(G7*0.25+I7*0.15+L7*0.25+N7*0.35,2)</f>
        <v>0.65</v>
      </c>
      <c r="P7" s="2" t="str">
        <f aca="false">IF(O7&gt;=0.75,"A - likely reliable",IF(O7&gt;=0.5,"B - review carefully",IF(O7&gt;=0.25,"C - low trust","D - reject/re-extract")))</f>
        <v>B - review carefully</v>
      </c>
      <c r="Q7" s="2" t="s">
        <v>32</v>
      </c>
    </row>
    <row r="8" customFormat="false" ht="23.85" hidden="false" customHeight="false" outlineLevel="0" collapsed="false">
      <c r="A8" s="2" t="s">
        <v>40</v>
      </c>
      <c r="B8" s="2" t="s">
        <v>41</v>
      </c>
      <c r="C8" s="2" t="s">
        <v>19</v>
      </c>
      <c r="D8" s="2" t="s">
        <v>20</v>
      </c>
      <c r="E8" s="2" t="s">
        <v>42</v>
      </c>
      <c r="F8" s="2" t="s">
        <v>22</v>
      </c>
      <c r="G8" s="2" t="n">
        <f aca="false">IF(F8="FOUND",1,IF(F8="PARTIAL",0.5,0))</f>
        <v>1</v>
      </c>
      <c r="H8" s="2" t="n">
        <v>1</v>
      </c>
      <c r="I8" s="2" t="n">
        <f aca="false">H8*1</f>
        <v>1</v>
      </c>
      <c r="J8" s="2" t="n">
        <v>0</v>
      </c>
      <c r="K8" s="2"/>
      <c r="L8" s="2" t="n">
        <f aca="false">IF(J8=1,0,1)</f>
        <v>1</v>
      </c>
      <c r="M8" s="2" t="n">
        <v>0</v>
      </c>
      <c r="N8" s="2" t="n">
        <f aca="false">M8*1</f>
        <v>0</v>
      </c>
      <c r="O8" s="3" t="n">
        <f aca="false">ROUND(G8*0.25+I8*0.15+L8*0.25+N8*0.35,2)</f>
        <v>0.65</v>
      </c>
      <c r="P8" s="2" t="str">
        <f aca="false">IF(O8&gt;=0.75,"A - likely reliable",IF(O8&gt;=0.5,"B - review carefully",IF(O8&gt;=0.25,"C - low trust","D - reject/re-extract")))</f>
        <v>B - review carefully</v>
      </c>
      <c r="Q8" s="2" t="s">
        <v>43</v>
      </c>
    </row>
    <row r="9" customFormat="false" ht="23.85" hidden="false" customHeight="false" outlineLevel="0" collapsed="false">
      <c r="A9" s="2" t="s">
        <v>44</v>
      </c>
      <c r="B9" s="2" t="s">
        <v>41</v>
      </c>
      <c r="C9" s="2" t="s">
        <v>19</v>
      </c>
      <c r="D9" s="2" t="s">
        <v>20</v>
      </c>
      <c r="E9" s="2" t="s">
        <v>45</v>
      </c>
      <c r="F9" s="2" t="s">
        <v>22</v>
      </c>
      <c r="G9" s="2" t="n">
        <f aca="false">IF(F9="FOUND",1,IF(F9="PARTIAL",0.5,0))</f>
        <v>1</v>
      </c>
      <c r="H9" s="2" t="n">
        <v>1</v>
      </c>
      <c r="I9" s="2" t="n">
        <f aca="false">H9*1</f>
        <v>1</v>
      </c>
      <c r="J9" s="2" t="n">
        <v>0</v>
      </c>
      <c r="K9" s="2"/>
      <c r="L9" s="2" t="n">
        <f aca="false">IF(J9=1,0,1)</f>
        <v>1</v>
      </c>
      <c r="M9" s="2" t="n">
        <v>0</v>
      </c>
      <c r="N9" s="2" t="n">
        <f aca="false">M9*1</f>
        <v>0</v>
      </c>
      <c r="O9" s="3" t="n">
        <f aca="false">ROUND(G9*0.25+I9*0.15+L9*0.25+N9*0.35,2)</f>
        <v>0.65</v>
      </c>
      <c r="P9" s="2" t="str">
        <f aca="false">IF(O9&gt;=0.75,"A - likely reliable",IF(O9&gt;=0.5,"B - review carefully",IF(O9&gt;=0.25,"C - low trust","D - reject/re-extract")))</f>
        <v>B - review carefully</v>
      </c>
      <c r="Q9" s="2" t="s">
        <v>43</v>
      </c>
    </row>
    <row r="10" customFormat="false" ht="23.85" hidden="false" customHeight="false" outlineLevel="0" collapsed="false">
      <c r="A10" s="2" t="s">
        <v>46</v>
      </c>
      <c r="B10" s="2" t="s">
        <v>47</v>
      </c>
      <c r="C10" s="2" t="s">
        <v>19</v>
      </c>
      <c r="D10" s="2" t="s">
        <v>20</v>
      </c>
      <c r="E10" s="2" t="s">
        <v>48</v>
      </c>
      <c r="F10" s="2" t="s">
        <v>22</v>
      </c>
      <c r="G10" s="2" t="n">
        <f aca="false">IF(F10="FOUND",1,IF(F10="PARTIAL",0.5,0))</f>
        <v>1</v>
      </c>
      <c r="H10" s="2" t="n">
        <v>1</v>
      </c>
      <c r="I10" s="2" t="n">
        <f aca="false">H10*1</f>
        <v>1</v>
      </c>
      <c r="J10" s="2" t="n">
        <v>0</v>
      </c>
      <c r="K10" s="2"/>
      <c r="L10" s="2" t="n">
        <f aca="false">IF(J10=1,0,1)</f>
        <v>1</v>
      </c>
      <c r="M10" s="2" t="n">
        <v>0</v>
      </c>
      <c r="N10" s="2" t="n">
        <f aca="false">M10*1</f>
        <v>0</v>
      </c>
      <c r="O10" s="3" t="n">
        <f aca="false">ROUND(G10*0.25+I10*0.15+L10*0.25+N10*0.35,2)</f>
        <v>0.65</v>
      </c>
      <c r="P10" s="2" t="str">
        <f aca="false">IF(O10&gt;=0.75,"A - likely reliable",IF(O10&gt;=0.5,"B - review carefully",IF(O10&gt;=0.25,"C - low trust","D - reject/re-extract")))</f>
        <v>B - review carefully</v>
      </c>
      <c r="Q10" s="2" t="s">
        <v>32</v>
      </c>
    </row>
    <row r="11" customFormat="false" ht="23.85" hidden="false" customHeight="false" outlineLevel="0" collapsed="false">
      <c r="A11" s="2" t="s">
        <v>49</v>
      </c>
      <c r="B11" s="2" t="s">
        <v>47</v>
      </c>
      <c r="C11" s="2" t="s">
        <v>19</v>
      </c>
      <c r="D11" s="2" t="s">
        <v>20</v>
      </c>
      <c r="E11" s="2" t="s">
        <v>50</v>
      </c>
      <c r="F11" s="2" t="s">
        <v>22</v>
      </c>
      <c r="G11" s="2" t="n">
        <f aca="false">IF(F11="FOUND",1,IF(F11="PARTIAL",0.5,0))</f>
        <v>1</v>
      </c>
      <c r="H11" s="2" t="n">
        <v>1</v>
      </c>
      <c r="I11" s="2" t="n">
        <f aca="false">H11*1</f>
        <v>1</v>
      </c>
      <c r="J11" s="2" t="n">
        <v>1</v>
      </c>
      <c r="K11" s="2" t="s">
        <v>51</v>
      </c>
      <c r="L11" s="2" t="n">
        <f aca="false">IF(J11=1,0,1)</f>
        <v>0</v>
      </c>
      <c r="M11" s="2" t="n">
        <v>0</v>
      </c>
      <c r="N11" s="2" t="n">
        <f aca="false">M11*1</f>
        <v>0</v>
      </c>
      <c r="O11" s="3" t="n">
        <f aca="false">ROUND(G11*0.25+I11*0.15+L11*0.25+N11*0.35,2)</f>
        <v>0.4</v>
      </c>
      <c r="P11" s="2" t="str">
        <f aca="false">IF(O11&gt;=0.75,"A - likely reliable",IF(O11&gt;=0.5,"B - review carefully",IF(O11&gt;=0.25,"C - low trust","D - reject/re-extract")))</f>
        <v>C - low trust</v>
      </c>
      <c r="Q11" s="2" t="s">
        <v>32</v>
      </c>
    </row>
    <row r="12" customFormat="false" ht="23.85" hidden="false" customHeight="false" outlineLevel="0" collapsed="false">
      <c r="A12" s="2" t="s">
        <v>52</v>
      </c>
      <c r="B12" s="2" t="s">
        <v>53</v>
      </c>
      <c r="C12" s="2" t="s">
        <v>54</v>
      </c>
      <c r="D12" s="2" t="s">
        <v>55</v>
      </c>
      <c r="E12" s="2" t="s">
        <v>56</v>
      </c>
      <c r="F12" s="2" t="s">
        <v>22</v>
      </c>
      <c r="G12" s="2" t="n">
        <f aca="false">IF(F12="FOUND",1,IF(F12="PARTIAL",0.5,0))</f>
        <v>1</v>
      </c>
      <c r="H12" s="2" t="n">
        <v>1</v>
      </c>
      <c r="I12" s="2" t="n">
        <f aca="false">H12*1</f>
        <v>1</v>
      </c>
      <c r="J12" s="2" t="n">
        <v>0</v>
      </c>
      <c r="K12" s="2"/>
      <c r="L12" s="2" t="n">
        <f aca="false">IF(J12=1,0,1)</f>
        <v>1</v>
      </c>
      <c r="M12" s="2" t="n">
        <v>0</v>
      </c>
      <c r="N12" s="2" t="n">
        <f aca="false">M12*1</f>
        <v>0</v>
      </c>
      <c r="O12" s="3" t="n">
        <f aca="false">ROUND(G12*0.25+I12*0.15+L12*0.25+N12*0.35,2)</f>
        <v>0.65</v>
      </c>
      <c r="P12" s="2" t="str">
        <f aca="false">IF(O12&gt;=0.75,"A - likely reliable",IF(O12&gt;=0.5,"B - review carefully",IF(O12&gt;=0.25,"C - low trust","D - reject/re-extract")))</f>
        <v>B - review carefully</v>
      </c>
      <c r="Q12" s="2" t="s">
        <v>57</v>
      </c>
    </row>
    <row r="13" customFormat="false" ht="23.85" hidden="false" customHeight="false" outlineLevel="0" collapsed="false">
      <c r="A13" s="2" t="s">
        <v>58</v>
      </c>
      <c r="B13" s="2" t="s">
        <v>53</v>
      </c>
      <c r="C13" s="2" t="s">
        <v>54</v>
      </c>
      <c r="D13" s="2" t="s">
        <v>55</v>
      </c>
      <c r="E13" s="2" t="s">
        <v>45</v>
      </c>
      <c r="F13" s="2" t="s">
        <v>22</v>
      </c>
      <c r="G13" s="2" t="n">
        <f aca="false">IF(F13="FOUND",1,IF(F13="PARTIAL",0.5,0))</f>
        <v>1</v>
      </c>
      <c r="H13" s="2" t="n">
        <v>1</v>
      </c>
      <c r="I13" s="2" t="n">
        <f aca="false">H13*1</f>
        <v>1</v>
      </c>
      <c r="J13" s="2" t="n">
        <v>1</v>
      </c>
      <c r="K13" s="2" t="s">
        <v>59</v>
      </c>
      <c r="L13" s="2" t="n">
        <f aca="false">IF(J13=1,0,1)</f>
        <v>0</v>
      </c>
      <c r="M13" s="2" t="n">
        <v>0</v>
      </c>
      <c r="N13" s="2" t="n">
        <f aca="false">M13*1</f>
        <v>0</v>
      </c>
      <c r="O13" s="3" t="n">
        <f aca="false">ROUND(G13*0.25+I13*0.15+L13*0.25+N13*0.35,2)</f>
        <v>0.4</v>
      </c>
      <c r="P13" s="2" t="str">
        <f aca="false">IF(O13&gt;=0.75,"A - likely reliable",IF(O13&gt;=0.5,"B - review carefully",IF(O13&gt;=0.25,"C - low trust","D - reject/re-extract")))</f>
        <v>C - low trust</v>
      </c>
      <c r="Q13" s="2" t="s">
        <v>60</v>
      </c>
    </row>
    <row r="14" customFormat="false" ht="23.85" hidden="false" customHeight="false" outlineLevel="0" collapsed="false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65</v>
      </c>
      <c r="F14" s="2" t="s">
        <v>22</v>
      </c>
      <c r="G14" s="2" t="n">
        <f aca="false">IF(F14="FOUND",1,IF(F14="PARTIAL",0.5,0))</f>
        <v>1</v>
      </c>
      <c r="H14" s="2" t="n">
        <v>1</v>
      </c>
      <c r="I14" s="2" t="n">
        <f aca="false">H14*1</f>
        <v>1</v>
      </c>
      <c r="J14" s="2" t="n">
        <v>0</v>
      </c>
      <c r="K14" s="2"/>
      <c r="L14" s="2" t="n">
        <f aca="false">IF(J14=1,0,1)</f>
        <v>1</v>
      </c>
      <c r="M14" s="2" t="n">
        <v>0</v>
      </c>
      <c r="N14" s="2" t="n">
        <f aca="false">M14*1</f>
        <v>0</v>
      </c>
      <c r="O14" s="3" t="n">
        <f aca="false">ROUND(G14*0.25+I14*0.15+L14*0.25+N14*0.35,2)</f>
        <v>0.65</v>
      </c>
      <c r="P14" s="2" t="str">
        <f aca="false">IF(O14&gt;=0.75,"A - likely reliable",IF(O14&gt;=0.5,"B - review carefully",IF(O14&gt;=0.25,"C - low trust","D - reject/re-extract")))</f>
        <v>B - review carefully</v>
      </c>
      <c r="Q14" s="2" t="s">
        <v>66</v>
      </c>
    </row>
    <row r="15" customFormat="false" ht="23.85" hidden="false" customHeight="false" outlineLevel="0" collapsed="false">
      <c r="A15" s="2" t="s">
        <v>67</v>
      </c>
      <c r="B15" s="2" t="s">
        <v>62</v>
      </c>
      <c r="C15" s="2" t="s">
        <v>63</v>
      </c>
      <c r="D15" s="2" t="s">
        <v>64</v>
      </c>
      <c r="E15" s="2" t="s">
        <v>45</v>
      </c>
      <c r="F15" s="2" t="s">
        <v>22</v>
      </c>
      <c r="G15" s="2" t="n">
        <f aca="false">IF(F15="FOUND",1,IF(F15="PARTIAL",0.5,0))</f>
        <v>1</v>
      </c>
      <c r="H15" s="2" t="n">
        <v>1</v>
      </c>
      <c r="I15" s="2" t="n">
        <f aca="false">H15*1</f>
        <v>1</v>
      </c>
      <c r="J15" s="2" t="n">
        <v>0</v>
      </c>
      <c r="K15" s="2"/>
      <c r="L15" s="2" t="n">
        <f aca="false">IF(J15=1,0,1)</f>
        <v>1</v>
      </c>
      <c r="M15" s="2" t="n">
        <v>0</v>
      </c>
      <c r="N15" s="2" t="n">
        <f aca="false">M15*1</f>
        <v>0</v>
      </c>
      <c r="O15" s="3" t="n">
        <f aca="false">ROUND(G15*0.25+I15*0.15+L15*0.25+N15*0.35,2)</f>
        <v>0.65</v>
      </c>
      <c r="P15" s="2" t="str">
        <f aca="false">IF(O15&gt;=0.75,"A - likely reliable",IF(O15&gt;=0.5,"B - review carefully",IF(O15&gt;=0.25,"C - low trust","D - reject/re-extract")))</f>
        <v>B - review carefully</v>
      </c>
      <c r="Q15" s="2" t="s">
        <v>66</v>
      </c>
    </row>
    <row r="16" customFormat="false" ht="23.85" hidden="false" customHeight="false" outlineLevel="0" collapsed="false">
      <c r="A16" s="2" t="s">
        <v>68</v>
      </c>
      <c r="B16" s="2" t="s">
        <v>69</v>
      </c>
      <c r="C16" s="2" t="s">
        <v>70</v>
      </c>
      <c r="D16" s="2" t="s">
        <v>64</v>
      </c>
      <c r="E16" s="2" t="s">
        <v>21</v>
      </c>
      <c r="F16" s="2" t="s">
        <v>22</v>
      </c>
      <c r="G16" s="2" t="n">
        <f aca="false">IF(F16="FOUND",1,IF(F16="PARTIAL",0.5,0))</f>
        <v>1</v>
      </c>
      <c r="H16" s="2" t="n">
        <v>1</v>
      </c>
      <c r="I16" s="2" t="n">
        <f aca="false">H16*1</f>
        <v>1</v>
      </c>
      <c r="J16" s="2" t="n">
        <v>0</v>
      </c>
      <c r="K16" s="2"/>
      <c r="L16" s="2" t="n">
        <f aca="false">IF(J16=1,0,1)</f>
        <v>1</v>
      </c>
      <c r="M16" s="2" t="n">
        <v>0</v>
      </c>
      <c r="N16" s="2" t="n">
        <f aca="false">M16*1</f>
        <v>0</v>
      </c>
      <c r="O16" s="3" t="n">
        <f aca="false">ROUND(G16*0.25+I16*0.15+L16*0.25+N16*0.35,2)</f>
        <v>0.65</v>
      </c>
      <c r="P16" s="2" t="str">
        <f aca="false">IF(O16&gt;=0.75,"A - likely reliable",IF(O16&gt;=0.5,"B - review carefully",IF(O16&gt;=0.25,"C - low trust","D - reject/re-extract")))</f>
        <v>B - review carefully</v>
      </c>
      <c r="Q16" s="2" t="s">
        <v>71</v>
      </c>
    </row>
    <row r="17" customFormat="false" ht="23.85" hidden="false" customHeight="false" outlineLevel="0" collapsed="false">
      <c r="A17" s="2" t="s">
        <v>72</v>
      </c>
      <c r="B17" s="2" t="s">
        <v>69</v>
      </c>
      <c r="C17" s="2" t="s">
        <v>70</v>
      </c>
      <c r="D17" s="2" t="s">
        <v>64</v>
      </c>
      <c r="E17" s="2" t="s">
        <v>50</v>
      </c>
      <c r="F17" s="2" t="s">
        <v>22</v>
      </c>
      <c r="G17" s="2" t="n">
        <f aca="false">IF(F17="FOUND",1,IF(F17="PARTIAL",0.5,0))</f>
        <v>1</v>
      </c>
      <c r="H17" s="2" t="n">
        <v>1</v>
      </c>
      <c r="I17" s="2" t="n">
        <f aca="false">H17*1</f>
        <v>1</v>
      </c>
      <c r="J17" s="2" t="n">
        <v>1</v>
      </c>
      <c r="K17" s="2" t="s">
        <v>73</v>
      </c>
      <c r="L17" s="2" t="n">
        <f aca="false">IF(J17=1,0,1)</f>
        <v>0</v>
      </c>
      <c r="M17" s="2" t="n">
        <v>0</v>
      </c>
      <c r="N17" s="2" t="n">
        <f aca="false">M17*1</f>
        <v>0</v>
      </c>
      <c r="O17" s="3" t="n">
        <f aca="false">ROUND(G17*0.25+I17*0.15+L17*0.25+N17*0.35,2)</f>
        <v>0.4</v>
      </c>
      <c r="P17" s="2" t="str">
        <f aca="false">IF(O17&gt;=0.75,"A - likely reliable",IF(O17&gt;=0.5,"B - review carefully",IF(O17&gt;=0.25,"C - low trust","D - reject/re-extract")))</f>
        <v>C - low trust</v>
      </c>
      <c r="Q17" s="2" t="s">
        <v>71</v>
      </c>
    </row>
    <row r="18" customFormat="false" ht="35.05" hidden="false" customHeight="false" outlineLevel="0" collapsed="false">
      <c r="A18" s="2" t="s">
        <v>74</v>
      </c>
      <c r="B18" s="2" t="s">
        <v>75</v>
      </c>
      <c r="C18" s="2" t="s">
        <v>76</v>
      </c>
      <c r="D18" s="2" t="s">
        <v>64</v>
      </c>
      <c r="E18" s="2" t="s">
        <v>65</v>
      </c>
      <c r="F18" s="2" t="s">
        <v>22</v>
      </c>
      <c r="G18" s="2" t="n">
        <f aca="false">IF(F18="FOUND",1,IF(F18="PARTIAL",0.5,0))</f>
        <v>1</v>
      </c>
      <c r="H18" s="2" t="n">
        <v>1</v>
      </c>
      <c r="I18" s="2" t="n">
        <f aca="false">H18*1</f>
        <v>1</v>
      </c>
      <c r="J18" s="2" t="n">
        <v>1</v>
      </c>
      <c r="K18" s="2" t="s">
        <v>77</v>
      </c>
      <c r="L18" s="2" t="n">
        <f aca="false">IF(J18=1,0,1)</f>
        <v>0</v>
      </c>
      <c r="M18" s="2" t="n">
        <v>0</v>
      </c>
      <c r="N18" s="2" t="n">
        <f aca="false">M18*1</f>
        <v>0</v>
      </c>
      <c r="O18" s="3" t="n">
        <f aca="false">ROUND(G18*0.25+I18*0.15+L18*0.25+N18*0.35,2)</f>
        <v>0.4</v>
      </c>
      <c r="P18" s="2" t="str">
        <f aca="false">IF(O18&gt;=0.75,"A - likely reliable",IF(O18&gt;=0.5,"B - review carefully",IF(O18&gt;=0.25,"C - low trust","D - reject/re-extract")))</f>
        <v>C - low trust</v>
      </c>
      <c r="Q18" s="2" t="s">
        <v>66</v>
      </c>
    </row>
    <row r="19" customFormat="false" ht="23.85" hidden="false" customHeight="false" outlineLevel="0" collapsed="false">
      <c r="A19" s="2" t="s">
        <v>78</v>
      </c>
      <c r="B19" s="2" t="s">
        <v>75</v>
      </c>
      <c r="C19" s="2" t="s">
        <v>76</v>
      </c>
      <c r="D19" s="2" t="s">
        <v>64</v>
      </c>
      <c r="E19" s="2" t="s">
        <v>45</v>
      </c>
      <c r="F19" s="2" t="s">
        <v>22</v>
      </c>
      <c r="G19" s="2" t="n">
        <f aca="false">IF(F19="FOUND",1,IF(F19="PARTIAL",0.5,0))</f>
        <v>1</v>
      </c>
      <c r="H19" s="2" t="n">
        <v>1</v>
      </c>
      <c r="I19" s="2" t="n">
        <f aca="false">H19*1</f>
        <v>1</v>
      </c>
      <c r="J19" s="2" t="n">
        <v>0</v>
      </c>
      <c r="K19" s="2"/>
      <c r="L19" s="2" t="n">
        <f aca="false">IF(J19=1,0,1)</f>
        <v>1</v>
      </c>
      <c r="M19" s="2" t="n">
        <v>0</v>
      </c>
      <c r="N19" s="2" t="n">
        <f aca="false">M19*1</f>
        <v>0</v>
      </c>
      <c r="O19" s="3" t="n">
        <f aca="false">ROUND(G19*0.25+I19*0.15+L19*0.25+N19*0.35,2)</f>
        <v>0.65</v>
      </c>
      <c r="P19" s="2" t="str">
        <f aca="false">IF(O19&gt;=0.75,"A - likely reliable",IF(O19&gt;=0.5,"B - review carefully",IF(O19&gt;=0.25,"C - low trust","D - reject/re-extract")))</f>
        <v>B - review carefully</v>
      </c>
      <c r="Q19" s="2" t="s">
        <v>66</v>
      </c>
    </row>
    <row r="20" customFormat="false" ht="23.85" hidden="false" customHeight="false" outlineLevel="0" collapsed="false">
      <c r="A20" s="2" t="s">
        <v>79</v>
      </c>
      <c r="B20" s="2" t="s">
        <v>80</v>
      </c>
      <c r="C20" s="2" t="s">
        <v>76</v>
      </c>
      <c r="D20" s="2" t="s">
        <v>81</v>
      </c>
      <c r="E20" s="2" t="s">
        <v>82</v>
      </c>
      <c r="F20" s="2" t="s">
        <v>83</v>
      </c>
      <c r="G20" s="2" t="n">
        <f aca="false">IF(F20="FOUND",1,IF(F20="PARTIAL",0.5,0))</f>
        <v>0.5</v>
      </c>
      <c r="H20" s="2" t="n">
        <v>1</v>
      </c>
      <c r="I20" s="2" t="n">
        <f aca="false">H20*1</f>
        <v>1</v>
      </c>
      <c r="J20" s="2" t="n">
        <v>0</v>
      </c>
      <c r="K20" s="2"/>
      <c r="L20" s="2" t="n">
        <f aca="false">IF(J20=1,0,1)</f>
        <v>1</v>
      </c>
      <c r="M20" s="2" t="n">
        <v>0</v>
      </c>
      <c r="N20" s="2" t="n">
        <f aca="false">M20*1</f>
        <v>0</v>
      </c>
      <c r="O20" s="3" t="n">
        <f aca="false">ROUND(G20*0.25+I20*0.15+L20*0.25+N20*0.35,2)</f>
        <v>0.53</v>
      </c>
      <c r="P20" s="2" t="str">
        <f aca="false">IF(O20&gt;=0.75,"A - likely reliable",IF(O20&gt;=0.5,"B - review carefully",IF(O20&gt;=0.25,"C - low trust","D - reject/re-extract")))</f>
        <v>B - review carefully</v>
      </c>
      <c r="Q20" s="2" t="s">
        <v>84</v>
      </c>
    </row>
    <row r="21" customFormat="false" ht="23.85" hidden="false" customHeight="false" outlineLevel="0" collapsed="false">
      <c r="A21" s="2" t="s">
        <v>85</v>
      </c>
      <c r="B21" s="2" t="s">
        <v>86</v>
      </c>
      <c r="C21" s="2" t="s">
        <v>87</v>
      </c>
      <c r="D21" s="2" t="s">
        <v>88</v>
      </c>
      <c r="E21" s="2" t="s">
        <v>89</v>
      </c>
      <c r="F21" s="2" t="s">
        <v>22</v>
      </c>
      <c r="G21" s="2" t="n">
        <f aca="false">IF(F21="FOUND",1,IF(F21="PARTIAL",0.5,0))</f>
        <v>1</v>
      </c>
      <c r="H21" s="2" t="n">
        <v>1</v>
      </c>
      <c r="I21" s="2" t="n">
        <f aca="false">H21*1</f>
        <v>1</v>
      </c>
      <c r="J21" s="2" t="n">
        <v>1</v>
      </c>
      <c r="K21" s="2" t="s">
        <v>90</v>
      </c>
      <c r="L21" s="2" t="n">
        <f aca="false">IF(J21=1,0,1)</f>
        <v>0</v>
      </c>
      <c r="M21" s="2" t="n">
        <v>0</v>
      </c>
      <c r="N21" s="2" t="n">
        <f aca="false">M21*1</f>
        <v>0</v>
      </c>
      <c r="O21" s="3" t="n">
        <f aca="false">ROUND(G21*0.25+I21*0.15+L21*0.25+N21*0.35,2)</f>
        <v>0.4</v>
      </c>
      <c r="P21" s="2" t="str">
        <f aca="false">IF(O21&gt;=0.75,"A - likely reliable",IF(O21&gt;=0.5,"B - review carefully",IF(O21&gt;=0.25,"C - low trust","D - reject/re-extract")))</f>
        <v>C - low trust</v>
      </c>
      <c r="Q21" s="2" t="s">
        <v>91</v>
      </c>
    </row>
    <row r="22" customFormat="false" ht="23.85" hidden="false" customHeight="false" outlineLevel="0" collapsed="false">
      <c r="A22" s="2" t="s">
        <v>92</v>
      </c>
      <c r="B22" s="2" t="s">
        <v>69</v>
      </c>
      <c r="C22" s="2" t="s">
        <v>70</v>
      </c>
      <c r="D22" s="2" t="s">
        <v>93</v>
      </c>
      <c r="E22" s="2" t="s">
        <v>94</v>
      </c>
      <c r="F22" s="2" t="s">
        <v>22</v>
      </c>
      <c r="G22" s="2" t="n">
        <f aca="false">IF(F22="FOUND",1,IF(F22="PARTIAL",0.5,0))</f>
        <v>1</v>
      </c>
      <c r="H22" s="2" t="n">
        <v>1</v>
      </c>
      <c r="I22" s="2" t="n">
        <f aca="false">H22*1</f>
        <v>1</v>
      </c>
      <c r="J22" s="2" t="n">
        <v>0</v>
      </c>
      <c r="K22" s="2"/>
      <c r="L22" s="2" t="n">
        <f aca="false">IF(J22=1,0,1)</f>
        <v>1</v>
      </c>
      <c r="M22" s="2" t="n">
        <v>0</v>
      </c>
      <c r="N22" s="2" t="n">
        <f aca="false">M22*1</f>
        <v>0</v>
      </c>
      <c r="O22" s="3" t="n">
        <f aca="false">ROUND(G22*0.25+I22*0.15+L22*0.25+N22*0.35,2)</f>
        <v>0.65</v>
      </c>
      <c r="P22" s="2" t="str">
        <f aca="false">IF(O22&gt;=0.75,"A - likely reliable",IF(O22&gt;=0.5,"B - review carefully",IF(O22&gt;=0.25,"C - low trust","D - reject/re-extract")))</f>
        <v>B - review carefully</v>
      </c>
      <c r="Q22" s="2" t="s">
        <v>95</v>
      </c>
    </row>
    <row r="23" customFormat="false" ht="23.85" hidden="false" customHeight="false" outlineLevel="0" collapsed="false">
      <c r="A23" s="2" t="s">
        <v>96</v>
      </c>
      <c r="B23" s="2" t="s">
        <v>69</v>
      </c>
      <c r="C23" s="2" t="s">
        <v>70</v>
      </c>
      <c r="D23" s="2" t="s">
        <v>93</v>
      </c>
      <c r="E23" s="2" t="s">
        <v>97</v>
      </c>
      <c r="F23" s="2" t="s">
        <v>22</v>
      </c>
      <c r="G23" s="2" t="n">
        <f aca="false">IF(F23="FOUND",1,IF(F23="PARTIAL",0.5,0))</f>
        <v>1</v>
      </c>
      <c r="H23" s="2" t="n">
        <v>1</v>
      </c>
      <c r="I23" s="2" t="n">
        <f aca="false">H23*1</f>
        <v>1</v>
      </c>
      <c r="J23" s="2" t="n">
        <v>1</v>
      </c>
      <c r="K23" s="2" t="s">
        <v>98</v>
      </c>
      <c r="L23" s="2" t="n">
        <f aca="false">IF(J23=1,0,1)</f>
        <v>0</v>
      </c>
      <c r="M23" s="2" t="n">
        <v>0</v>
      </c>
      <c r="N23" s="2" t="n">
        <f aca="false">M23*1</f>
        <v>0</v>
      </c>
      <c r="O23" s="3" t="n">
        <f aca="false">ROUND(G23*0.25+I23*0.15+L23*0.25+N23*0.35,2)</f>
        <v>0.4</v>
      </c>
      <c r="P23" s="2" t="str">
        <f aca="false">IF(O23&gt;=0.75,"A - likely reliable",IF(O23&gt;=0.5,"B - review carefully",IF(O23&gt;=0.25,"C - low trust","D - reject/re-extract")))</f>
        <v>C - low trust</v>
      </c>
      <c r="Q23" s="2" t="s">
        <v>43</v>
      </c>
    </row>
    <row r="24" customFormat="false" ht="23.85" hidden="false" customHeight="false" outlineLevel="0" collapsed="false">
      <c r="A24" s="2" t="s">
        <v>99</v>
      </c>
      <c r="B24" s="2" t="s">
        <v>69</v>
      </c>
      <c r="C24" s="2" t="s">
        <v>70</v>
      </c>
      <c r="D24" s="2" t="s">
        <v>93</v>
      </c>
      <c r="E24" s="2" t="s">
        <v>100</v>
      </c>
      <c r="F24" s="2" t="s">
        <v>22</v>
      </c>
      <c r="G24" s="2" t="n">
        <f aca="false">IF(F24="FOUND",1,IF(F24="PARTIAL",0.5,0))</f>
        <v>1</v>
      </c>
      <c r="H24" s="2" t="n">
        <v>1</v>
      </c>
      <c r="I24" s="2" t="n">
        <f aca="false">H24*1</f>
        <v>1</v>
      </c>
      <c r="J24" s="2" t="n">
        <v>0</v>
      </c>
      <c r="K24" s="2"/>
      <c r="L24" s="2" t="n">
        <f aca="false">IF(J24=1,0,1)</f>
        <v>1</v>
      </c>
      <c r="M24" s="2" t="n">
        <v>0</v>
      </c>
      <c r="N24" s="2" t="n">
        <f aca="false">M24*1</f>
        <v>0</v>
      </c>
      <c r="O24" s="3" t="n">
        <f aca="false">ROUND(G24*0.25+I24*0.15+L24*0.25+N24*0.35,2)</f>
        <v>0.65</v>
      </c>
      <c r="P24" s="2" t="str">
        <f aca="false">IF(O24&gt;=0.75,"A - likely reliable",IF(O24&gt;=0.5,"B - review carefully",IF(O24&gt;=0.25,"C - low trust","D - reject/re-extract")))</f>
        <v>B - review carefully</v>
      </c>
      <c r="Q24" s="2" t="s">
        <v>43</v>
      </c>
    </row>
    <row r="25" customFormat="false" ht="23.85" hidden="false" customHeight="false" outlineLevel="0" collapsed="false">
      <c r="A25" s="2" t="s">
        <v>101</v>
      </c>
      <c r="B25" s="2" t="s">
        <v>69</v>
      </c>
      <c r="C25" s="2" t="s">
        <v>70</v>
      </c>
      <c r="D25" s="2" t="s">
        <v>93</v>
      </c>
      <c r="E25" s="2" t="s">
        <v>102</v>
      </c>
      <c r="F25" s="2" t="s">
        <v>22</v>
      </c>
      <c r="G25" s="2" t="n">
        <f aca="false">IF(F25="FOUND",1,IF(F25="PARTIAL",0.5,0))</f>
        <v>1</v>
      </c>
      <c r="H25" s="2" t="n">
        <v>1</v>
      </c>
      <c r="I25" s="2" t="n">
        <f aca="false">H25*1</f>
        <v>1</v>
      </c>
      <c r="J25" s="2" t="n">
        <v>1</v>
      </c>
      <c r="K25" s="2" t="s">
        <v>103</v>
      </c>
      <c r="L25" s="2" t="n">
        <f aca="false">IF(J25=1,0,1)</f>
        <v>0</v>
      </c>
      <c r="M25" s="2" t="n">
        <v>0</v>
      </c>
      <c r="N25" s="2" t="n">
        <f aca="false">M25*1</f>
        <v>0</v>
      </c>
      <c r="O25" s="3" t="n">
        <f aca="false">ROUND(G25*0.25+I25*0.15+L25*0.25+N25*0.35,2)</f>
        <v>0.4</v>
      </c>
      <c r="P25" s="2" t="str">
        <f aca="false">IF(O25&gt;=0.75,"A - likely reliable",IF(O25&gt;=0.5,"B - review carefully",IF(O25&gt;=0.25,"C - low trust","D - reject/re-extract")))</f>
        <v>C - low trust</v>
      </c>
      <c r="Q25" s="2" t="s">
        <v>43</v>
      </c>
    </row>
    <row r="26" customFormat="false" ht="23.85" hidden="false" customHeight="false" outlineLevel="0" collapsed="false">
      <c r="A26" s="2" t="s">
        <v>104</v>
      </c>
      <c r="B26" s="2" t="s">
        <v>69</v>
      </c>
      <c r="C26" s="2" t="s">
        <v>70</v>
      </c>
      <c r="D26" s="2" t="s">
        <v>93</v>
      </c>
      <c r="E26" s="2" t="s">
        <v>105</v>
      </c>
      <c r="F26" s="2" t="s">
        <v>22</v>
      </c>
      <c r="G26" s="2" t="n">
        <f aca="false">IF(F26="FOUND",1,IF(F26="PARTIAL",0.5,0))</f>
        <v>1</v>
      </c>
      <c r="H26" s="2" t="n">
        <v>1</v>
      </c>
      <c r="I26" s="2" t="n">
        <f aca="false">H26*1</f>
        <v>1</v>
      </c>
      <c r="J26" s="2" t="n">
        <v>0</v>
      </c>
      <c r="K26" s="2"/>
      <c r="L26" s="2" t="n">
        <f aca="false">IF(J26=1,0,1)</f>
        <v>1</v>
      </c>
      <c r="M26" s="2" t="n">
        <v>0</v>
      </c>
      <c r="N26" s="2" t="n">
        <f aca="false">M26*1</f>
        <v>0</v>
      </c>
      <c r="O26" s="3" t="n">
        <f aca="false">ROUND(G26*0.25+I26*0.15+L26*0.25+N26*0.35,2)</f>
        <v>0.65</v>
      </c>
      <c r="P26" s="2" t="str">
        <f aca="false">IF(O26&gt;=0.75,"A - likely reliable",IF(O26&gt;=0.5,"B - review carefully",IF(O26&gt;=0.25,"C - low trust","D - reject/re-extract")))</f>
        <v>B - review carefully</v>
      </c>
      <c r="Q26" s="2" t="s">
        <v>43</v>
      </c>
    </row>
    <row r="27" customFormat="false" ht="23.85" hidden="false" customHeight="false" outlineLevel="0" collapsed="false">
      <c r="A27" s="2" t="s">
        <v>106</v>
      </c>
      <c r="B27" s="2" t="s">
        <v>69</v>
      </c>
      <c r="C27" s="2" t="s">
        <v>70</v>
      </c>
      <c r="D27" s="2" t="s">
        <v>93</v>
      </c>
      <c r="E27" s="2" t="s">
        <v>107</v>
      </c>
      <c r="F27" s="2" t="s">
        <v>22</v>
      </c>
      <c r="G27" s="2" t="n">
        <f aca="false">IF(F27="FOUND",1,IF(F27="PARTIAL",0.5,0))</f>
        <v>1</v>
      </c>
      <c r="H27" s="2" t="n">
        <v>1</v>
      </c>
      <c r="I27" s="2" t="n">
        <f aca="false">H27*1</f>
        <v>1</v>
      </c>
      <c r="J27" s="2" t="n">
        <v>0</v>
      </c>
      <c r="K27" s="2"/>
      <c r="L27" s="2" t="n">
        <f aca="false">IF(J27=1,0,1)</f>
        <v>1</v>
      </c>
      <c r="M27" s="2" t="n">
        <v>0</v>
      </c>
      <c r="N27" s="2" t="n">
        <f aca="false">M27*1</f>
        <v>0</v>
      </c>
      <c r="O27" s="3" t="n">
        <f aca="false">ROUND(G27*0.25+I27*0.15+L27*0.25+N27*0.35,2)</f>
        <v>0.65</v>
      </c>
      <c r="P27" s="2" t="str">
        <f aca="false">IF(O27&gt;=0.75,"A - likely reliable",IF(O27&gt;=0.5,"B - review carefully",IF(O27&gt;=0.25,"C - low trust","D - reject/re-extract")))</f>
        <v>B - review carefully</v>
      </c>
      <c r="Q27" s="2" t="s">
        <v>43</v>
      </c>
    </row>
    <row r="28" customFormat="false" ht="23.85" hidden="false" customHeight="false" outlineLevel="0" collapsed="false">
      <c r="A28" s="2" t="s">
        <v>108</v>
      </c>
      <c r="B28" s="2" t="s">
        <v>69</v>
      </c>
      <c r="C28" s="2" t="s">
        <v>70</v>
      </c>
      <c r="D28" s="2" t="s">
        <v>93</v>
      </c>
      <c r="E28" s="2" t="s">
        <v>109</v>
      </c>
      <c r="F28" s="2" t="s">
        <v>22</v>
      </c>
      <c r="G28" s="2" t="n">
        <f aca="false">IF(F28="FOUND",1,IF(F28="PARTIAL",0.5,0))</f>
        <v>1</v>
      </c>
      <c r="H28" s="2" t="n">
        <v>1</v>
      </c>
      <c r="I28" s="2" t="n">
        <f aca="false">H28*1</f>
        <v>1</v>
      </c>
      <c r="J28" s="2" t="n">
        <v>0</v>
      </c>
      <c r="K28" s="2"/>
      <c r="L28" s="2" t="n">
        <f aca="false">IF(J28=1,0,1)</f>
        <v>1</v>
      </c>
      <c r="M28" s="2" t="n">
        <v>0</v>
      </c>
      <c r="N28" s="2" t="n">
        <f aca="false">M28*1</f>
        <v>0</v>
      </c>
      <c r="O28" s="3" t="n">
        <f aca="false">ROUND(G28*0.25+I28*0.15+L28*0.25+N28*0.35,2)</f>
        <v>0.65</v>
      </c>
      <c r="P28" s="2" t="str">
        <f aca="false">IF(O28&gt;=0.75,"A - likely reliable",IF(O28&gt;=0.5,"B - review carefully",IF(O28&gt;=0.25,"C - low trust","D - reject/re-extract")))</f>
        <v>B - review carefully</v>
      </c>
      <c r="Q28" s="2" t="s">
        <v>43</v>
      </c>
    </row>
    <row r="29" customFormat="false" ht="23.85" hidden="false" customHeight="false" outlineLevel="0" collapsed="false">
      <c r="A29" s="2" t="s">
        <v>110</v>
      </c>
      <c r="B29" s="2" t="s">
        <v>69</v>
      </c>
      <c r="C29" s="2" t="s">
        <v>70</v>
      </c>
      <c r="D29" s="2" t="s">
        <v>93</v>
      </c>
      <c r="E29" s="2" t="s">
        <v>111</v>
      </c>
      <c r="F29" s="2" t="s">
        <v>22</v>
      </c>
      <c r="G29" s="2" t="n">
        <f aca="false">IF(F29="FOUND",1,IF(F29="PARTIAL",0.5,0))</f>
        <v>1</v>
      </c>
      <c r="H29" s="2" t="n">
        <v>1</v>
      </c>
      <c r="I29" s="2" t="n">
        <f aca="false">H29*1</f>
        <v>1</v>
      </c>
      <c r="J29" s="2" t="n">
        <v>0</v>
      </c>
      <c r="K29" s="2"/>
      <c r="L29" s="2" t="n">
        <f aca="false">IF(J29=1,0,1)</f>
        <v>1</v>
      </c>
      <c r="M29" s="2" t="n">
        <v>0</v>
      </c>
      <c r="N29" s="2" t="n">
        <f aca="false">M29*1</f>
        <v>0</v>
      </c>
      <c r="O29" s="3" t="n">
        <f aca="false">ROUND(G29*0.25+I29*0.15+L29*0.25+N29*0.35,2)</f>
        <v>0.65</v>
      </c>
      <c r="P29" s="2" t="str">
        <f aca="false">IF(O29&gt;=0.75,"A - likely reliable",IF(O29&gt;=0.5,"B - review carefully",IF(O29&gt;=0.25,"C - low trust","D - reject/re-extract")))</f>
        <v>B - review carefully</v>
      </c>
      <c r="Q29" s="2" t="s">
        <v>43</v>
      </c>
    </row>
    <row r="30" customFormat="false" ht="23.85" hidden="false" customHeight="false" outlineLevel="0" collapsed="false">
      <c r="A30" s="2" t="s">
        <v>112</v>
      </c>
      <c r="B30" s="2" t="s">
        <v>113</v>
      </c>
      <c r="C30" s="2" t="s">
        <v>87</v>
      </c>
      <c r="D30" s="2" t="s">
        <v>114</v>
      </c>
      <c r="E30" s="2" t="s">
        <v>115</v>
      </c>
      <c r="F30" s="2" t="s">
        <v>22</v>
      </c>
      <c r="G30" s="2" t="n">
        <f aca="false">IF(F30="FOUND",1,IF(F30="PARTIAL",0.5,0))</f>
        <v>1</v>
      </c>
      <c r="H30" s="2" t="n">
        <v>1</v>
      </c>
      <c r="I30" s="2" t="n">
        <f aca="false">H30*1</f>
        <v>1</v>
      </c>
      <c r="J30" s="2" t="n">
        <v>0</v>
      </c>
      <c r="K30" s="2"/>
      <c r="L30" s="2" t="n">
        <f aca="false">IF(J30=1,0,1)</f>
        <v>1</v>
      </c>
      <c r="M30" s="2" t="n">
        <v>0</v>
      </c>
      <c r="N30" s="2" t="n">
        <f aca="false">M30*1</f>
        <v>0</v>
      </c>
      <c r="O30" s="3" t="n">
        <f aca="false">ROUND(G30*0.25+I30*0.15+L30*0.25+N30*0.35,2)</f>
        <v>0.65</v>
      </c>
      <c r="P30" s="2" t="str">
        <f aca="false">IF(O30&gt;=0.75,"A - likely reliable",IF(O30&gt;=0.5,"B - review carefully",IF(O30&gt;=0.25,"C - low trust","D - reject/re-extract")))</f>
        <v>B - review carefully</v>
      </c>
      <c r="Q30" s="2" t="s">
        <v>116</v>
      </c>
    </row>
    <row r="31" customFormat="false" ht="23.85" hidden="false" customHeight="false" outlineLevel="0" collapsed="false">
      <c r="A31" s="2" t="s">
        <v>117</v>
      </c>
      <c r="B31" s="2" t="s">
        <v>113</v>
      </c>
      <c r="C31" s="2" t="s">
        <v>87</v>
      </c>
      <c r="D31" s="2" t="s">
        <v>114</v>
      </c>
      <c r="E31" s="2" t="s">
        <v>45</v>
      </c>
      <c r="F31" s="2" t="s">
        <v>22</v>
      </c>
      <c r="G31" s="2" t="n">
        <f aca="false">IF(F31="FOUND",1,IF(F31="PARTIAL",0.5,0))</f>
        <v>1</v>
      </c>
      <c r="H31" s="2" t="n">
        <v>1</v>
      </c>
      <c r="I31" s="2" t="n">
        <f aca="false">H31*1</f>
        <v>1</v>
      </c>
      <c r="J31" s="2" t="n">
        <v>0</v>
      </c>
      <c r="K31" s="2"/>
      <c r="L31" s="2" t="n">
        <f aca="false">IF(J31=1,0,1)</f>
        <v>1</v>
      </c>
      <c r="M31" s="2" t="n">
        <v>0</v>
      </c>
      <c r="N31" s="2" t="n">
        <f aca="false">M31*1</f>
        <v>0</v>
      </c>
      <c r="O31" s="3" t="n">
        <f aca="false">ROUND(G31*0.25+I31*0.15+L31*0.25+N31*0.35,2)</f>
        <v>0.65</v>
      </c>
      <c r="P31" s="2" t="str">
        <f aca="false">IF(O31&gt;=0.75,"A - likely reliable",IF(O31&gt;=0.5,"B - review carefully",IF(O31&gt;=0.25,"C - low trust","D - reject/re-extract")))</f>
        <v>B - review carefully</v>
      </c>
      <c r="Q31" s="2" t="s">
        <v>116</v>
      </c>
    </row>
    <row r="32" customFormat="false" ht="23.85" hidden="false" customHeight="false" outlineLevel="0" collapsed="false">
      <c r="A32" s="2" t="s">
        <v>118</v>
      </c>
      <c r="B32" s="2" t="s">
        <v>62</v>
      </c>
      <c r="C32" s="2" t="s">
        <v>63</v>
      </c>
      <c r="D32" s="2" t="s">
        <v>114</v>
      </c>
      <c r="E32" s="2" t="s">
        <v>119</v>
      </c>
      <c r="F32" s="2" t="s">
        <v>22</v>
      </c>
      <c r="G32" s="2" t="n">
        <f aca="false">IF(F32="FOUND",1,IF(F32="PARTIAL",0.5,0))</f>
        <v>1</v>
      </c>
      <c r="H32" s="2" t="n">
        <v>1</v>
      </c>
      <c r="I32" s="2" t="n">
        <f aca="false">H32*1</f>
        <v>1</v>
      </c>
      <c r="J32" s="2" t="n">
        <v>0</v>
      </c>
      <c r="K32" s="2"/>
      <c r="L32" s="2" t="n">
        <f aca="false">IF(J32=1,0,1)</f>
        <v>1</v>
      </c>
      <c r="M32" s="2" t="n">
        <v>0</v>
      </c>
      <c r="N32" s="2" t="n">
        <f aca="false">M32*1</f>
        <v>0</v>
      </c>
      <c r="O32" s="3" t="n">
        <f aca="false">ROUND(G32*0.25+I32*0.15+L32*0.25+N32*0.35,2)</f>
        <v>0.65</v>
      </c>
      <c r="P32" s="2" t="str">
        <f aca="false">IF(O32&gt;=0.75,"A - likely reliable",IF(O32&gt;=0.5,"B - review carefully",IF(O32&gt;=0.25,"C - low trust","D - reject/re-extract")))</f>
        <v>B - review carefully</v>
      </c>
      <c r="Q32" s="2" t="s">
        <v>116</v>
      </c>
    </row>
    <row r="33" customFormat="false" ht="23.85" hidden="false" customHeight="false" outlineLevel="0" collapsed="false">
      <c r="A33" s="2" t="s">
        <v>120</v>
      </c>
      <c r="B33" s="2" t="s">
        <v>121</v>
      </c>
      <c r="C33" s="2" t="s">
        <v>87</v>
      </c>
      <c r="D33" s="2" t="s">
        <v>114</v>
      </c>
      <c r="E33" s="2" t="s">
        <v>122</v>
      </c>
      <c r="F33" s="2" t="s">
        <v>22</v>
      </c>
      <c r="G33" s="2" t="n">
        <f aca="false">IF(F33="FOUND",1,IF(F33="PARTIAL",0.5,0))</f>
        <v>1</v>
      </c>
      <c r="H33" s="2" t="n">
        <v>1</v>
      </c>
      <c r="I33" s="2" t="n">
        <f aca="false">H33*1</f>
        <v>1</v>
      </c>
      <c r="J33" s="2" t="n">
        <v>0</v>
      </c>
      <c r="K33" s="2"/>
      <c r="L33" s="2" t="n">
        <f aca="false">IF(J33=1,0,1)</f>
        <v>1</v>
      </c>
      <c r="M33" s="2" t="n">
        <v>1</v>
      </c>
      <c r="N33" s="2" t="n">
        <f aca="false">M33*1</f>
        <v>1</v>
      </c>
      <c r="O33" s="3" t="n">
        <f aca="false">ROUND(G33*0.25+I33*0.15+L33*0.25+N33*0.35,2)</f>
        <v>1</v>
      </c>
      <c r="P33" s="2" t="str">
        <f aca="false">IF(O33&gt;=0.75,"A - likely reliable",IF(O33&gt;=0.5,"B - review carefully",IF(O33&gt;=0.25,"C - low trust","D - reject/re-extract")))</f>
        <v>A - likely reliable</v>
      </c>
      <c r="Q33" s="2" t="s">
        <v>123</v>
      </c>
    </row>
    <row r="34" customFormat="false" ht="23.85" hidden="false" customHeight="false" outlineLevel="0" collapsed="false">
      <c r="A34" s="2" t="s">
        <v>124</v>
      </c>
      <c r="B34" s="2" t="s">
        <v>125</v>
      </c>
      <c r="C34" s="2" t="s">
        <v>87</v>
      </c>
      <c r="D34" s="2" t="s">
        <v>114</v>
      </c>
      <c r="E34" s="2" t="s">
        <v>126</v>
      </c>
      <c r="F34" s="2" t="s">
        <v>22</v>
      </c>
      <c r="G34" s="2" t="n">
        <f aca="false">IF(F34="FOUND",1,IF(F34="PARTIAL",0.5,0))</f>
        <v>1</v>
      </c>
      <c r="H34" s="2" t="n">
        <v>1</v>
      </c>
      <c r="I34" s="2" t="n">
        <f aca="false">H34*1</f>
        <v>1</v>
      </c>
      <c r="J34" s="2" t="n">
        <v>0</v>
      </c>
      <c r="K34" s="2"/>
      <c r="L34" s="2" t="n">
        <f aca="false">IF(J34=1,0,1)</f>
        <v>1</v>
      </c>
      <c r="M34" s="2" t="n">
        <v>1</v>
      </c>
      <c r="N34" s="2" t="n">
        <f aca="false">M34*1</f>
        <v>1</v>
      </c>
      <c r="O34" s="3" t="n">
        <f aca="false">ROUND(G34*0.25+I34*0.15+L34*0.25+N34*0.35,2)</f>
        <v>1</v>
      </c>
      <c r="P34" s="2" t="str">
        <f aca="false">IF(O34&gt;=0.75,"A - likely reliable",IF(O34&gt;=0.5,"B - review carefully",IF(O34&gt;=0.25,"C - low trust","D - reject/re-extract")))</f>
        <v>A - likely reliable</v>
      </c>
      <c r="Q34" s="2" t="s">
        <v>127</v>
      </c>
    </row>
    <row r="35" customFormat="false" ht="23.85" hidden="false" customHeight="false" outlineLevel="0" collapsed="false">
      <c r="A35" s="2" t="s">
        <v>128</v>
      </c>
      <c r="B35" s="2" t="s">
        <v>129</v>
      </c>
      <c r="C35" s="2" t="s">
        <v>87</v>
      </c>
      <c r="D35" s="2" t="s">
        <v>114</v>
      </c>
      <c r="E35" s="2" t="s">
        <v>130</v>
      </c>
      <c r="F35" s="2" t="s">
        <v>22</v>
      </c>
      <c r="G35" s="2" t="n">
        <f aca="false">IF(F35="FOUND",1,IF(F35="PARTIAL",0.5,0))</f>
        <v>1</v>
      </c>
      <c r="H35" s="2" t="n">
        <v>1</v>
      </c>
      <c r="I35" s="2" t="n">
        <f aca="false">H35*1</f>
        <v>1</v>
      </c>
      <c r="J35" s="2" t="n">
        <v>1</v>
      </c>
      <c r="K35" s="2" t="s">
        <v>131</v>
      </c>
      <c r="L35" s="2" t="n">
        <f aca="false">IF(J35=1,0,1)</f>
        <v>0</v>
      </c>
      <c r="M35" s="2" t="n">
        <v>0</v>
      </c>
      <c r="N35" s="2" t="n">
        <f aca="false">M35*1</f>
        <v>0</v>
      </c>
      <c r="O35" s="3" t="n">
        <f aca="false">ROUND(G35*0.25+I35*0.15+L35*0.25+N35*0.35,2)</f>
        <v>0.4</v>
      </c>
      <c r="P35" s="2" t="str">
        <f aca="false">IF(O35&gt;=0.75,"A - likely reliable",IF(O35&gt;=0.5,"B - review carefully",IF(O35&gt;=0.25,"C - low trust","D - reject/re-extract")))</f>
        <v>C - low trust</v>
      </c>
      <c r="Q35" s="2" t="s">
        <v>132</v>
      </c>
    </row>
    <row r="36" customFormat="false" ht="23.85" hidden="false" customHeight="false" outlineLevel="0" collapsed="false">
      <c r="A36" s="2" t="s">
        <v>133</v>
      </c>
      <c r="B36" s="2" t="s">
        <v>134</v>
      </c>
      <c r="C36" s="2" t="s">
        <v>135</v>
      </c>
      <c r="D36" s="2" t="s">
        <v>136</v>
      </c>
      <c r="E36" s="2" t="s">
        <v>56</v>
      </c>
      <c r="F36" s="2" t="s">
        <v>22</v>
      </c>
      <c r="G36" s="2" t="n">
        <f aca="false">IF(F36="FOUND",1,IF(F36="PARTIAL",0.5,0))</f>
        <v>1</v>
      </c>
      <c r="H36" s="2" t="n">
        <v>1</v>
      </c>
      <c r="I36" s="2" t="n">
        <f aca="false">H36*1</f>
        <v>1</v>
      </c>
      <c r="J36" s="2" t="n">
        <v>0</v>
      </c>
      <c r="K36" s="2"/>
      <c r="L36" s="2" t="n">
        <f aca="false">IF(J36=1,0,1)</f>
        <v>1</v>
      </c>
      <c r="M36" s="2" t="n">
        <v>0</v>
      </c>
      <c r="N36" s="2" t="n">
        <f aca="false">M36*1</f>
        <v>0</v>
      </c>
      <c r="O36" s="3" t="n">
        <f aca="false">ROUND(G36*0.25+I36*0.15+L36*0.25+N36*0.35,2)</f>
        <v>0.65</v>
      </c>
      <c r="P36" s="2" t="str">
        <f aca="false">IF(O36&gt;=0.75,"A - likely reliable",IF(O36&gt;=0.5,"B - review carefully",IF(O36&gt;=0.25,"C - low trust","D - reject/re-extract")))</f>
        <v>B - review carefully</v>
      </c>
      <c r="Q36" s="2" t="s">
        <v>137</v>
      </c>
    </row>
    <row r="37" customFormat="false" ht="23.85" hidden="false" customHeight="false" outlineLevel="0" collapsed="false">
      <c r="A37" s="2" t="s">
        <v>138</v>
      </c>
      <c r="B37" s="2" t="s">
        <v>134</v>
      </c>
      <c r="C37" s="2" t="s">
        <v>135</v>
      </c>
      <c r="D37" s="2" t="s">
        <v>136</v>
      </c>
      <c r="E37" s="2" t="s">
        <v>139</v>
      </c>
      <c r="F37" s="2" t="s">
        <v>22</v>
      </c>
      <c r="G37" s="2" t="n">
        <f aca="false">IF(F37="FOUND",1,IF(F37="PARTIAL",0.5,0))</f>
        <v>1</v>
      </c>
      <c r="H37" s="2" t="n">
        <v>1</v>
      </c>
      <c r="I37" s="2" t="n">
        <f aca="false">H37*1</f>
        <v>1</v>
      </c>
      <c r="J37" s="2" t="n">
        <v>0</v>
      </c>
      <c r="K37" s="2"/>
      <c r="L37" s="2" t="n">
        <f aca="false">IF(J37=1,0,1)</f>
        <v>1</v>
      </c>
      <c r="M37" s="2" t="n">
        <v>0</v>
      </c>
      <c r="N37" s="2" t="n">
        <f aca="false">M37*1</f>
        <v>0</v>
      </c>
      <c r="O37" s="3" t="n">
        <f aca="false">ROUND(G37*0.25+I37*0.15+L37*0.25+N37*0.35,2)</f>
        <v>0.65</v>
      </c>
      <c r="P37" s="2" t="str">
        <f aca="false">IF(O37&gt;=0.75,"A - likely reliable",IF(O37&gt;=0.5,"B - review carefully",IF(O37&gt;=0.25,"C - low trust","D - reject/re-extract")))</f>
        <v>B - review carefully</v>
      </c>
      <c r="Q37" s="2" t="s">
        <v>140</v>
      </c>
    </row>
    <row r="38" customFormat="false" ht="23.85" hidden="false" customHeight="false" outlineLevel="0" collapsed="false">
      <c r="A38" s="2" t="s">
        <v>141</v>
      </c>
      <c r="B38" s="2" t="s">
        <v>142</v>
      </c>
      <c r="C38" s="2" t="s">
        <v>135</v>
      </c>
      <c r="D38" s="2" t="s">
        <v>136</v>
      </c>
      <c r="E38" s="2" t="s">
        <v>56</v>
      </c>
      <c r="F38" s="2" t="s">
        <v>83</v>
      </c>
      <c r="G38" s="2" t="n">
        <f aca="false">IF(F38="FOUND",1,IF(F38="PARTIAL",0.5,0))</f>
        <v>0.5</v>
      </c>
      <c r="H38" s="2" t="n">
        <v>1</v>
      </c>
      <c r="I38" s="2" t="n">
        <f aca="false">H38*1</f>
        <v>1</v>
      </c>
      <c r="J38" s="2" t="n">
        <v>0</v>
      </c>
      <c r="K38" s="2"/>
      <c r="L38" s="2" t="n">
        <f aca="false">IF(J38=1,0,1)</f>
        <v>1</v>
      </c>
      <c r="M38" s="2" t="n">
        <v>0</v>
      </c>
      <c r="N38" s="2" t="n">
        <f aca="false">M38*1</f>
        <v>0</v>
      </c>
      <c r="O38" s="3" t="n">
        <f aca="false">ROUND(G38*0.25+I38*0.15+L38*0.25+N38*0.35,2)</f>
        <v>0.53</v>
      </c>
      <c r="P38" s="2" t="str">
        <f aca="false">IF(O38&gt;=0.75,"A - likely reliable",IF(O38&gt;=0.5,"B - review carefully",IF(O38&gt;=0.25,"C - low trust","D - reject/re-extract")))</f>
        <v>B - review carefully</v>
      </c>
      <c r="Q38" s="2" t="s">
        <v>84</v>
      </c>
    </row>
    <row r="39" customFormat="false" ht="23.85" hidden="false" customHeight="false" outlineLevel="0" collapsed="false">
      <c r="A39" s="2" t="s">
        <v>143</v>
      </c>
      <c r="B39" s="2" t="s">
        <v>144</v>
      </c>
      <c r="C39" s="2" t="s">
        <v>135</v>
      </c>
      <c r="D39" s="2" t="s">
        <v>136</v>
      </c>
      <c r="E39" s="2" t="s">
        <v>56</v>
      </c>
      <c r="F39" s="2" t="s">
        <v>83</v>
      </c>
      <c r="G39" s="2" t="n">
        <f aca="false">IF(F39="FOUND",1,IF(F39="PARTIAL",0.5,0))</f>
        <v>0.5</v>
      </c>
      <c r="H39" s="2" t="n">
        <v>1</v>
      </c>
      <c r="I39" s="2" t="n">
        <f aca="false">H39*1</f>
        <v>1</v>
      </c>
      <c r="J39" s="2" t="n">
        <v>0</v>
      </c>
      <c r="K39" s="2"/>
      <c r="L39" s="2" t="n">
        <f aca="false">IF(J39=1,0,1)</f>
        <v>1</v>
      </c>
      <c r="M39" s="2" t="n">
        <v>0</v>
      </c>
      <c r="N39" s="2" t="n">
        <f aca="false">M39*1</f>
        <v>0</v>
      </c>
      <c r="O39" s="3" t="n">
        <f aca="false">ROUND(G39*0.25+I39*0.15+L39*0.25+N39*0.35,2)</f>
        <v>0.53</v>
      </c>
      <c r="P39" s="2" t="str">
        <f aca="false">IF(O39&gt;=0.75,"A - likely reliable",IF(O39&gt;=0.5,"B - review carefully",IF(O39&gt;=0.25,"C - low trust","D - reject/re-extract")))</f>
        <v>B - review carefully</v>
      </c>
      <c r="Q39" s="2" t="s">
        <v>84</v>
      </c>
    </row>
    <row r="40" customFormat="false" ht="23.85" hidden="false" customHeight="false" outlineLevel="0" collapsed="false">
      <c r="A40" s="2" t="s">
        <v>145</v>
      </c>
      <c r="B40" s="2" t="s">
        <v>146</v>
      </c>
      <c r="C40" s="2" t="s">
        <v>135</v>
      </c>
      <c r="D40" s="2" t="s">
        <v>136</v>
      </c>
      <c r="E40" s="2" t="s">
        <v>56</v>
      </c>
      <c r="F40" s="2" t="s">
        <v>83</v>
      </c>
      <c r="G40" s="2" t="n">
        <f aca="false">IF(F40="FOUND",1,IF(F40="PARTIAL",0.5,0))</f>
        <v>0.5</v>
      </c>
      <c r="H40" s="2" t="n">
        <v>1</v>
      </c>
      <c r="I40" s="2" t="n">
        <f aca="false">H40*1</f>
        <v>1</v>
      </c>
      <c r="J40" s="2" t="n">
        <v>0</v>
      </c>
      <c r="K40" s="2"/>
      <c r="L40" s="2" t="n">
        <f aca="false">IF(J40=1,0,1)</f>
        <v>1</v>
      </c>
      <c r="M40" s="2" t="n">
        <v>0</v>
      </c>
      <c r="N40" s="2" t="n">
        <f aca="false">M40*1</f>
        <v>0</v>
      </c>
      <c r="O40" s="3" t="n">
        <f aca="false">ROUND(G40*0.25+I40*0.15+L40*0.25+N40*0.35,2)</f>
        <v>0.53</v>
      </c>
      <c r="P40" s="2" t="str">
        <f aca="false">IF(O40&gt;=0.75,"A - likely reliable",IF(O40&gt;=0.5,"B - review carefully",IF(O40&gt;=0.25,"C - low trust","D - reject/re-extract")))</f>
        <v>B - review carefully</v>
      </c>
      <c r="Q40" s="2" t="s">
        <v>84</v>
      </c>
    </row>
    <row r="41" customFormat="false" ht="23.85" hidden="false" customHeight="false" outlineLevel="0" collapsed="false">
      <c r="A41" s="2" t="s">
        <v>147</v>
      </c>
      <c r="B41" s="2" t="s">
        <v>148</v>
      </c>
      <c r="C41" s="2" t="s">
        <v>149</v>
      </c>
      <c r="D41" s="2" t="s">
        <v>136</v>
      </c>
      <c r="E41" s="2" t="s">
        <v>130</v>
      </c>
      <c r="F41" s="2" t="s">
        <v>83</v>
      </c>
      <c r="G41" s="2" t="n">
        <f aca="false">IF(F41="FOUND",1,IF(F41="PARTIAL",0.5,0))</f>
        <v>0.5</v>
      </c>
      <c r="H41" s="2" t="n">
        <v>0</v>
      </c>
      <c r="I41" s="2" t="n">
        <f aca="false">H41*1</f>
        <v>0</v>
      </c>
      <c r="J41" s="2" t="n">
        <v>0</v>
      </c>
      <c r="K41" s="2"/>
      <c r="L41" s="2" t="n">
        <f aca="false">IF(J41=1,0,1)</f>
        <v>1</v>
      </c>
      <c r="M41" s="2" t="n">
        <v>0</v>
      </c>
      <c r="N41" s="2" t="n">
        <f aca="false">M41*1</f>
        <v>0</v>
      </c>
      <c r="O41" s="3" t="n">
        <f aca="false">ROUND(G41*0.25+I41*0.15+L41*0.25+N41*0.35,2)</f>
        <v>0.38</v>
      </c>
      <c r="P41" s="2" t="str">
        <f aca="false">IF(O41&gt;=0.75,"A - likely reliable",IF(O41&gt;=0.5,"B - review carefully",IF(O41&gt;=0.25,"C - low trust","D - reject/re-extract")))</f>
        <v>C - low trust</v>
      </c>
      <c r="Q41" s="2" t="s">
        <v>84</v>
      </c>
    </row>
    <row r="42" customFormat="false" ht="23.85" hidden="false" customHeight="false" outlineLevel="0" collapsed="false">
      <c r="A42" s="2" t="s">
        <v>150</v>
      </c>
      <c r="B42" s="2" t="s">
        <v>151</v>
      </c>
      <c r="C42" s="2" t="s">
        <v>54</v>
      </c>
      <c r="D42" s="2" t="s">
        <v>152</v>
      </c>
      <c r="E42" s="2" t="s">
        <v>153</v>
      </c>
      <c r="F42" s="2" t="s">
        <v>22</v>
      </c>
      <c r="G42" s="2" t="n">
        <f aca="false">IF(F42="FOUND",1,IF(F42="PARTIAL",0.5,0))</f>
        <v>1</v>
      </c>
      <c r="H42" s="2" t="n">
        <v>1</v>
      </c>
      <c r="I42" s="2" t="n">
        <f aca="false">H42*1</f>
        <v>1</v>
      </c>
      <c r="J42" s="2" t="n">
        <v>0</v>
      </c>
      <c r="K42" s="2"/>
      <c r="L42" s="2" t="n">
        <f aca="false">IF(J42=1,0,1)</f>
        <v>1</v>
      </c>
      <c r="M42" s="2" t="n">
        <v>0</v>
      </c>
      <c r="N42" s="2" t="n">
        <f aca="false">M42*1</f>
        <v>0</v>
      </c>
      <c r="O42" s="3" t="n">
        <f aca="false">ROUND(G42*0.25+I42*0.15+L42*0.25+N42*0.35,2)</f>
        <v>0.65</v>
      </c>
      <c r="P42" s="2" t="str">
        <f aca="false">IF(O42&gt;=0.75,"A - likely reliable",IF(O42&gt;=0.5,"B - review carefully",IF(O42&gt;=0.25,"C - low trust","D - reject/re-extract")))</f>
        <v>B - review carefully</v>
      </c>
      <c r="Q42" s="2" t="s">
        <v>154</v>
      </c>
    </row>
    <row r="43" customFormat="false" ht="35.05" hidden="false" customHeight="false" outlineLevel="0" collapsed="false">
      <c r="A43" s="2" t="s">
        <v>155</v>
      </c>
      <c r="B43" s="2" t="s">
        <v>156</v>
      </c>
      <c r="C43" s="2" t="s">
        <v>157</v>
      </c>
      <c r="D43" s="2" t="s">
        <v>158</v>
      </c>
      <c r="E43" s="2" t="s">
        <v>159</v>
      </c>
      <c r="F43" s="2" t="s">
        <v>22</v>
      </c>
      <c r="G43" s="2" t="n">
        <f aca="false">IF(F43="FOUND",1,IF(F43="PARTIAL",0.5,0))</f>
        <v>1</v>
      </c>
      <c r="H43" s="2" t="n">
        <v>1</v>
      </c>
      <c r="I43" s="2" t="n">
        <f aca="false">H43*1</f>
        <v>1</v>
      </c>
      <c r="J43" s="2" t="n">
        <v>1</v>
      </c>
      <c r="K43" s="2" t="s">
        <v>160</v>
      </c>
      <c r="L43" s="2" t="n">
        <f aca="false">IF(J43=1,0,1)</f>
        <v>0</v>
      </c>
      <c r="M43" s="2" t="n">
        <v>0</v>
      </c>
      <c r="N43" s="2" t="n">
        <f aca="false">M43*1</f>
        <v>0</v>
      </c>
      <c r="O43" s="3" t="n">
        <f aca="false">ROUND(G43*0.25+I43*0.15+L43*0.25+N43*0.35,2)</f>
        <v>0.4</v>
      </c>
      <c r="P43" s="2" t="str">
        <f aca="false">IF(O43&gt;=0.75,"A - likely reliable",IF(O43&gt;=0.5,"B - review carefully",IF(O43&gt;=0.25,"C - low trust","D - reject/re-extract")))</f>
        <v>C - low trust</v>
      </c>
      <c r="Q43" s="2" t="s">
        <v>161</v>
      </c>
    </row>
    <row r="44" customFormat="false" ht="23.85" hidden="false" customHeight="false" outlineLevel="0" collapsed="false">
      <c r="A44" s="2" t="s">
        <v>162</v>
      </c>
      <c r="B44" s="2" t="s">
        <v>156</v>
      </c>
      <c r="C44" s="2" t="s">
        <v>157</v>
      </c>
      <c r="D44" s="2" t="s">
        <v>158</v>
      </c>
      <c r="E44" s="2" t="s">
        <v>102</v>
      </c>
      <c r="F44" s="2" t="s">
        <v>22</v>
      </c>
      <c r="G44" s="2" t="n">
        <f aca="false">IF(F44="FOUND",1,IF(F44="PARTIAL",0.5,0))</f>
        <v>1</v>
      </c>
      <c r="H44" s="2" t="n">
        <v>1</v>
      </c>
      <c r="I44" s="2" t="n">
        <f aca="false">H44*1</f>
        <v>1</v>
      </c>
      <c r="J44" s="2" t="n">
        <v>1</v>
      </c>
      <c r="K44" s="2" t="s">
        <v>163</v>
      </c>
      <c r="L44" s="2" t="n">
        <f aca="false">IF(J44=1,0,1)</f>
        <v>0</v>
      </c>
      <c r="M44" s="2" t="n">
        <v>0</v>
      </c>
      <c r="N44" s="2" t="n">
        <f aca="false">M44*1</f>
        <v>0</v>
      </c>
      <c r="O44" s="3" t="n">
        <f aca="false">ROUND(G44*0.25+I44*0.15+L44*0.25+N44*0.35,2)</f>
        <v>0.4</v>
      </c>
      <c r="P44" s="2" t="str">
        <f aca="false">IF(O44&gt;=0.75,"A - likely reliable",IF(O44&gt;=0.5,"B - review carefully",IF(O44&gt;=0.25,"C - low trust","D - reject/re-extract")))</f>
        <v>C - low trust</v>
      </c>
      <c r="Q44" s="2" t="s">
        <v>164</v>
      </c>
    </row>
    <row r="45" customFormat="false" ht="35.05" hidden="false" customHeight="false" outlineLevel="0" collapsed="false">
      <c r="A45" s="2" t="s">
        <v>165</v>
      </c>
      <c r="B45" s="2" t="s">
        <v>166</v>
      </c>
      <c r="C45" s="2" t="s">
        <v>54</v>
      </c>
      <c r="D45" s="2" t="s">
        <v>158</v>
      </c>
      <c r="E45" s="2" t="s">
        <v>167</v>
      </c>
      <c r="F45" s="2" t="s">
        <v>22</v>
      </c>
      <c r="G45" s="2" t="n">
        <f aca="false">IF(F45="FOUND",1,IF(F45="PARTIAL",0.5,0))</f>
        <v>1</v>
      </c>
      <c r="H45" s="2" t="n">
        <v>1</v>
      </c>
      <c r="I45" s="2" t="n">
        <f aca="false">H45*1</f>
        <v>1</v>
      </c>
      <c r="J45" s="2" t="n">
        <v>1</v>
      </c>
      <c r="K45" s="2" t="s">
        <v>168</v>
      </c>
      <c r="L45" s="2" t="n">
        <f aca="false">IF(J45=1,0,1)</f>
        <v>0</v>
      </c>
      <c r="M45" s="2" t="n">
        <v>0</v>
      </c>
      <c r="N45" s="2" t="n">
        <f aca="false">M45*1</f>
        <v>0</v>
      </c>
      <c r="O45" s="3" t="n">
        <f aca="false">ROUND(G45*0.25+I45*0.15+L45*0.25+N45*0.35,2)</f>
        <v>0.4</v>
      </c>
      <c r="P45" s="2" t="str">
        <f aca="false">IF(O45&gt;=0.75,"A - likely reliable",IF(O45&gt;=0.5,"B - review carefully",IF(O45&gt;=0.25,"C - low trust","D - reject/re-extract")))</f>
        <v>C - low trust</v>
      </c>
      <c r="Q45" s="2" t="s">
        <v>169</v>
      </c>
    </row>
    <row r="46" customFormat="false" ht="23.85" hidden="false" customHeight="false" outlineLevel="0" collapsed="false">
      <c r="A46" s="2" t="s">
        <v>170</v>
      </c>
      <c r="B46" s="2" t="s">
        <v>166</v>
      </c>
      <c r="C46" s="2" t="s">
        <v>54</v>
      </c>
      <c r="D46" s="2" t="s">
        <v>158</v>
      </c>
      <c r="E46" s="2" t="s">
        <v>171</v>
      </c>
      <c r="F46" s="2" t="s">
        <v>22</v>
      </c>
      <c r="G46" s="2" t="n">
        <f aca="false">IF(F46="FOUND",1,IF(F46="PARTIAL",0.5,0))</f>
        <v>1</v>
      </c>
      <c r="H46" s="2" t="n">
        <v>1</v>
      </c>
      <c r="I46" s="2" t="n">
        <f aca="false">H46*1</f>
        <v>1</v>
      </c>
      <c r="J46" s="2" t="n">
        <v>1</v>
      </c>
      <c r="K46" s="2" t="s">
        <v>172</v>
      </c>
      <c r="L46" s="2" t="n">
        <f aca="false">IF(J46=1,0,1)</f>
        <v>0</v>
      </c>
      <c r="M46" s="2" t="n">
        <v>0</v>
      </c>
      <c r="N46" s="2" t="n">
        <f aca="false">M46*1</f>
        <v>0</v>
      </c>
      <c r="O46" s="3" t="n">
        <f aca="false">ROUND(G46*0.25+I46*0.15+L46*0.25+N46*0.35,2)</f>
        <v>0.4</v>
      </c>
      <c r="P46" s="2" t="str">
        <f aca="false">IF(O46&gt;=0.75,"A - likely reliable",IF(O46&gt;=0.5,"B - review carefully",IF(O46&gt;=0.25,"C - low trust","D - reject/re-extract")))</f>
        <v>C - low trust</v>
      </c>
      <c r="Q46" s="2" t="s">
        <v>169</v>
      </c>
    </row>
    <row r="47" customFormat="false" ht="35.05" hidden="false" customHeight="false" outlineLevel="0" collapsed="false">
      <c r="A47" s="2" t="s">
        <v>173</v>
      </c>
      <c r="B47" s="2" t="s">
        <v>174</v>
      </c>
      <c r="C47" s="2" t="s">
        <v>76</v>
      </c>
      <c r="D47" s="2" t="s">
        <v>175</v>
      </c>
      <c r="E47" s="2" t="s">
        <v>176</v>
      </c>
      <c r="F47" s="2" t="s">
        <v>22</v>
      </c>
      <c r="G47" s="2" t="n">
        <f aca="false">IF(F47="FOUND",1,IF(F47="PARTIAL",0.5,0))</f>
        <v>1</v>
      </c>
      <c r="H47" s="2" t="n">
        <v>1</v>
      </c>
      <c r="I47" s="2" t="n">
        <f aca="false">H47*1</f>
        <v>1</v>
      </c>
      <c r="J47" s="2" t="n">
        <v>0</v>
      </c>
      <c r="K47" s="2"/>
      <c r="L47" s="2" t="n">
        <f aca="false">IF(J47=1,0,1)</f>
        <v>1</v>
      </c>
      <c r="M47" s="2" t="n">
        <v>0</v>
      </c>
      <c r="N47" s="2" t="n">
        <f aca="false">M47*1</f>
        <v>0</v>
      </c>
      <c r="O47" s="3" t="n">
        <f aca="false">ROUND(G47*0.25+I47*0.15+L47*0.25+N47*0.35,2)</f>
        <v>0.65</v>
      </c>
      <c r="P47" s="2" t="str">
        <f aca="false">IF(O47&gt;=0.75,"A - likely reliable",IF(O47&gt;=0.5,"B - review carefully",IF(O47&gt;=0.25,"C - low trust","D - reject/re-extract")))</f>
        <v>B - review carefully</v>
      </c>
      <c r="Q47" s="2" t="s">
        <v>177</v>
      </c>
    </row>
    <row r="48" customFormat="false" ht="35.05" hidden="false" customHeight="false" outlineLevel="0" collapsed="false">
      <c r="A48" s="2" t="s">
        <v>178</v>
      </c>
      <c r="B48" s="2" t="s">
        <v>174</v>
      </c>
      <c r="C48" s="2" t="s">
        <v>76</v>
      </c>
      <c r="D48" s="2" t="s">
        <v>175</v>
      </c>
      <c r="E48" s="2" t="s">
        <v>107</v>
      </c>
      <c r="F48" s="2" t="s">
        <v>22</v>
      </c>
      <c r="G48" s="2" t="n">
        <f aca="false">IF(F48="FOUND",1,IF(F48="PARTIAL",0.5,0))</f>
        <v>1</v>
      </c>
      <c r="H48" s="2" t="n">
        <v>1</v>
      </c>
      <c r="I48" s="2" t="n">
        <f aca="false">H48*1</f>
        <v>1</v>
      </c>
      <c r="J48" s="2" t="n">
        <v>0</v>
      </c>
      <c r="K48" s="2"/>
      <c r="L48" s="2" t="n">
        <f aca="false">IF(J48=1,0,1)</f>
        <v>1</v>
      </c>
      <c r="M48" s="2" t="n">
        <v>0</v>
      </c>
      <c r="N48" s="2" t="n">
        <f aca="false">M48*1</f>
        <v>0</v>
      </c>
      <c r="O48" s="3" t="n">
        <f aca="false">ROUND(G48*0.25+I48*0.15+L48*0.25+N48*0.35,2)</f>
        <v>0.65</v>
      </c>
      <c r="P48" s="2" t="str">
        <f aca="false">IF(O48&gt;=0.75,"A - likely reliable",IF(O48&gt;=0.5,"B - review carefully",IF(O48&gt;=0.25,"C - low trust","D - reject/re-extract")))</f>
        <v>B - review carefully</v>
      </c>
      <c r="Q48" s="2" t="s">
        <v>177</v>
      </c>
    </row>
    <row r="49" customFormat="false" ht="23.85" hidden="false" customHeight="false" outlineLevel="0" collapsed="false">
      <c r="A49" s="2" t="s">
        <v>179</v>
      </c>
      <c r="B49" s="2" t="s">
        <v>75</v>
      </c>
      <c r="C49" s="2" t="s">
        <v>76</v>
      </c>
      <c r="D49" s="2" t="s">
        <v>180</v>
      </c>
      <c r="E49" s="2" t="s">
        <v>181</v>
      </c>
      <c r="F49" s="2" t="s">
        <v>22</v>
      </c>
      <c r="G49" s="2" t="n">
        <f aca="false">IF(F49="FOUND",1,IF(F49="PARTIAL",0.5,0))</f>
        <v>1</v>
      </c>
      <c r="H49" s="2" t="n">
        <v>1</v>
      </c>
      <c r="I49" s="2" t="n">
        <f aca="false">H49*1</f>
        <v>1</v>
      </c>
      <c r="J49" s="2" t="n">
        <v>0</v>
      </c>
      <c r="K49" s="2"/>
      <c r="L49" s="2" t="n">
        <f aca="false">IF(J49=1,0,1)</f>
        <v>1</v>
      </c>
      <c r="M49" s="2" t="n">
        <v>0</v>
      </c>
      <c r="N49" s="2" t="n">
        <f aca="false">M49*1</f>
        <v>0</v>
      </c>
      <c r="O49" s="3" t="n">
        <f aca="false">ROUND(G49*0.25+I49*0.15+L49*0.25+N49*0.35,2)</f>
        <v>0.65</v>
      </c>
      <c r="P49" s="2" t="str">
        <f aca="false">IF(O49&gt;=0.75,"A - likely reliable",IF(O49&gt;=0.5,"B - review carefully",IF(O49&gt;=0.25,"C - low trust","D - reject/re-extract")))</f>
        <v>B - review carefully</v>
      </c>
      <c r="Q49" s="2" t="s">
        <v>182</v>
      </c>
    </row>
    <row r="50" customFormat="false" ht="23.85" hidden="false" customHeight="false" outlineLevel="0" collapsed="false">
      <c r="A50" s="2" t="s">
        <v>183</v>
      </c>
      <c r="B50" s="2" t="s">
        <v>18</v>
      </c>
      <c r="C50" s="2" t="s">
        <v>19</v>
      </c>
      <c r="D50" s="2" t="s">
        <v>184</v>
      </c>
      <c r="E50" s="2" t="s">
        <v>185</v>
      </c>
      <c r="F50" s="2" t="s">
        <v>22</v>
      </c>
      <c r="G50" s="2" t="n">
        <f aca="false">IF(F50="FOUND",1,IF(F50="PARTIAL",0.5,0))</f>
        <v>1</v>
      </c>
      <c r="H50" s="2" t="n">
        <v>1</v>
      </c>
      <c r="I50" s="2" t="n">
        <f aca="false">H50*1</f>
        <v>1</v>
      </c>
      <c r="J50" s="2" t="n">
        <v>0</v>
      </c>
      <c r="K50" s="2"/>
      <c r="L50" s="2" t="n">
        <f aca="false">IF(J50=1,0,1)</f>
        <v>1</v>
      </c>
      <c r="M50" s="2" t="n">
        <v>1</v>
      </c>
      <c r="N50" s="2" t="n">
        <f aca="false">M50*1</f>
        <v>1</v>
      </c>
      <c r="O50" s="3" t="n">
        <f aca="false">ROUND(G50*0.25+I50*0.15+L50*0.25+N50*0.35,2)</f>
        <v>1</v>
      </c>
      <c r="P50" s="2" t="str">
        <f aca="false">IF(O50&gt;=0.75,"A - likely reliable",IF(O50&gt;=0.5,"B - review carefully",IF(O50&gt;=0.25,"C - low trust","D - reject/re-extract")))</f>
        <v>A - likely reliable</v>
      </c>
      <c r="Q50" s="2" t="s">
        <v>186</v>
      </c>
    </row>
    <row r="51" customFormat="false" ht="23.85" hidden="false" customHeight="false" outlineLevel="0" collapsed="false">
      <c r="A51" s="2" t="s">
        <v>187</v>
      </c>
      <c r="B51" s="2" t="s">
        <v>188</v>
      </c>
      <c r="C51" s="2" t="s">
        <v>19</v>
      </c>
      <c r="D51" s="2" t="s">
        <v>184</v>
      </c>
      <c r="E51" s="2" t="s">
        <v>185</v>
      </c>
      <c r="F51" s="2" t="s">
        <v>22</v>
      </c>
      <c r="G51" s="2" t="n">
        <f aca="false">IF(F51="FOUND",1,IF(F51="PARTIAL",0.5,0))</f>
        <v>1</v>
      </c>
      <c r="H51" s="2" t="n">
        <v>1</v>
      </c>
      <c r="I51" s="2" t="n">
        <f aca="false">H51*1</f>
        <v>1</v>
      </c>
      <c r="J51" s="2" t="n">
        <v>0</v>
      </c>
      <c r="K51" s="2"/>
      <c r="L51" s="2" t="n">
        <f aca="false">IF(J51=1,0,1)</f>
        <v>1</v>
      </c>
      <c r="M51" s="2" t="n">
        <v>1</v>
      </c>
      <c r="N51" s="2" t="n">
        <f aca="false">M51*1</f>
        <v>1</v>
      </c>
      <c r="O51" s="3" t="n">
        <f aca="false">ROUND(G51*0.25+I51*0.15+L51*0.25+N51*0.35,2)</f>
        <v>1</v>
      </c>
      <c r="P51" s="2" t="str">
        <f aca="false">IF(O51&gt;=0.75,"A - likely reliable",IF(O51&gt;=0.5,"B - review carefully",IF(O51&gt;=0.25,"C - low trust","D - reject/re-extract")))</f>
        <v>A - likely reliable</v>
      </c>
      <c r="Q51" s="2" t="s">
        <v>189</v>
      </c>
    </row>
    <row r="52" customFormat="false" ht="23.85" hidden="false" customHeight="false" outlineLevel="0" collapsed="false">
      <c r="A52" s="2" t="s">
        <v>190</v>
      </c>
      <c r="B52" s="2" t="s">
        <v>191</v>
      </c>
      <c r="C52" s="2" t="s">
        <v>149</v>
      </c>
      <c r="D52" s="2" t="s">
        <v>192</v>
      </c>
      <c r="E52" s="2" t="s">
        <v>193</v>
      </c>
      <c r="F52" s="2" t="s">
        <v>22</v>
      </c>
      <c r="G52" s="2" t="n">
        <f aca="false">IF(F52="FOUND",1,IF(F52="PARTIAL",0.5,0))</f>
        <v>1</v>
      </c>
      <c r="H52" s="2" t="n">
        <v>0</v>
      </c>
      <c r="I52" s="2" t="n">
        <f aca="false">H52*1</f>
        <v>0</v>
      </c>
      <c r="J52" s="2" t="n">
        <v>0</v>
      </c>
      <c r="K52" s="2"/>
      <c r="L52" s="2" t="n">
        <f aca="false">IF(J52=1,0,1)</f>
        <v>1</v>
      </c>
      <c r="M52" s="2" t="n">
        <v>0</v>
      </c>
      <c r="N52" s="2" t="n">
        <f aca="false">M52*1</f>
        <v>0</v>
      </c>
      <c r="O52" s="3" t="n">
        <f aca="false">ROUND(G52*0.25+I52*0.15+L52*0.25+N52*0.35,2)</f>
        <v>0.5</v>
      </c>
      <c r="P52" s="2" t="str">
        <f aca="false">IF(O52&gt;=0.75,"A - likely reliable",IF(O52&gt;=0.5,"B - review carefully",IF(O52&gt;=0.25,"C - low trust","D - reject/re-extract")))</f>
        <v>B - review carefully</v>
      </c>
      <c r="Q52" s="2" t="s">
        <v>177</v>
      </c>
    </row>
    <row r="53" customFormat="false" ht="23.85" hidden="false" customHeight="false" outlineLevel="0" collapsed="false">
      <c r="A53" s="2" t="s">
        <v>194</v>
      </c>
      <c r="B53" s="2" t="s">
        <v>195</v>
      </c>
      <c r="C53" s="2" t="s">
        <v>76</v>
      </c>
      <c r="D53" s="2" t="s">
        <v>196</v>
      </c>
      <c r="E53" s="2" t="s">
        <v>197</v>
      </c>
      <c r="F53" s="2" t="s">
        <v>22</v>
      </c>
      <c r="G53" s="2" t="n">
        <f aca="false">IF(F53="FOUND",1,IF(F53="PARTIAL",0.5,0))</f>
        <v>1</v>
      </c>
      <c r="H53" s="2" t="n">
        <v>1</v>
      </c>
      <c r="I53" s="2" t="n">
        <f aca="false">H53*1</f>
        <v>1</v>
      </c>
      <c r="J53" s="2" t="n">
        <v>0</v>
      </c>
      <c r="K53" s="2"/>
      <c r="L53" s="2" t="n">
        <f aca="false">IF(J53=1,0,1)</f>
        <v>1</v>
      </c>
      <c r="M53" s="2" t="n">
        <v>0</v>
      </c>
      <c r="N53" s="2" t="n">
        <f aca="false">M53*1</f>
        <v>0</v>
      </c>
      <c r="O53" s="3" t="n">
        <f aca="false">ROUND(G53*0.25+I53*0.15+L53*0.25+N53*0.35,2)</f>
        <v>0.65</v>
      </c>
      <c r="P53" s="2" t="str">
        <f aca="false">IF(O53&gt;=0.75,"A - likely reliable",IF(O53&gt;=0.5,"B - review carefully",IF(O53&gt;=0.25,"C - low trust","D - reject/re-extract")))</f>
        <v>B - review carefully</v>
      </c>
      <c r="Q53" s="2" t="s">
        <v>198</v>
      </c>
    </row>
    <row r="54" customFormat="false" ht="23.85" hidden="false" customHeight="false" outlineLevel="0" collapsed="false">
      <c r="A54" s="2" t="s">
        <v>199</v>
      </c>
      <c r="B54" s="2" t="s">
        <v>195</v>
      </c>
      <c r="C54" s="2" t="s">
        <v>76</v>
      </c>
      <c r="D54" s="2" t="s">
        <v>196</v>
      </c>
      <c r="E54" s="2" t="s">
        <v>200</v>
      </c>
      <c r="F54" s="2" t="s">
        <v>22</v>
      </c>
      <c r="G54" s="2" t="n">
        <f aca="false">IF(F54="FOUND",1,IF(F54="PARTIAL",0.5,0))</f>
        <v>1</v>
      </c>
      <c r="H54" s="2" t="n">
        <v>1</v>
      </c>
      <c r="I54" s="2" t="n">
        <f aca="false">H54*1</f>
        <v>1</v>
      </c>
      <c r="J54" s="2" t="n">
        <v>0</v>
      </c>
      <c r="K54" s="2"/>
      <c r="L54" s="2" t="n">
        <f aca="false">IF(J54=1,0,1)</f>
        <v>1</v>
      </c>
      <c r="M54" s="2" t="n">
        <v>0</v>
      </c>
      <c r="N54" s="2" t="n">
        <f aca="false">M54*1</f>
        <v>0</v>
      </c>
      <c r="O54" s="3" t="n">
        <f aca="false">ROUND(G54*0.25+I54*0.15+L54*0.25+N54*0.35,2)</f>
        <v>0.65</v>
      </c>
      <c r="P54" s="2" t="str">
        <f aca="false">IF(O54&gt;=0.75,"A - likely reliable",IF(O54&gt;=0.5,"B - review carefully",IF(O54&gt;=0.25,"C - low trust","D - reject/re-extract")))</f>
        <v>B - review carefully</v>
      </c>
      <c r="Q54" s="2" t="s">
        <v>201</v>
      </c>
    </row>
    <row r="55" customFormat="false" ht="23.85" hidden="false" customHeight="false" outlineLevel="0" collapsed="false">
      <c r="A55" s="2" t="s">
        <v>202</v>
      </c>
      <c r="B55" s="2" t="s">
        <v>203</v>
      </c>
      <c r="C55" s="2" t="s">
        <v>54</v>
      </c>
      <c r="D55" s="2" t="s">
        <v>204</v>
      </c>
      <c r="E55" s="2" t="s">
        <v>205</v>
      </c>
      <c r="F55" s="2" t="s">
        <v>22</v>
      </c>
      <c r="G55" s="2" t="n">
        <f aca="false">IF(F55="FOUND",1,IF(F55="PARTIAL",0.5,0))</f>
        <v>1</v>
      </c>
      <c r="H55" s="2" t="n">
        <v>1</v>
      </c>
      <c r="I55" s="2" t="n">
        <f aca="false">H55*1</f>
        <v>1</v>
      </c>
      <c r="J55" s="2" t="n">
        <v>0</v>
      </c>
      <c r="K55" s="2"/>
      <c r="L55" s="2" t="n">
        <f aca="false">IF(J55=1,0,1)</f>
        <v>1</v>
      </c>
      <c r="M55" s="2" t="n">
        <v>0</v>
      </c>
      <c r="N55" s="2" t="n">
        <f aca="false">M55*1</f>
        <v>0</v>
      </c>
      <c r="O55" s="3" t="n">
        <f aca="false">ROUND(G55*0.25+I55*0.15+L55*0.25+N55*0.35,2)</f>
        <v>0.65</v>
      </c>
      <c r="P55" s="2" t="str">
        <f aca="false">IF(O55&gt;=0.75,"A - likely reliable",IF(O55&gt;=0.5,"B - review carefully",IF(O55&gt;=0.25,"C - low trust","D - reject/re-extract")))</f>
        <v>B - review carefully</v>
      </c>
      <c r="Q55" s="2" t="s">
        <v>206</v>
      </c>
    </row>
    <row r="56" customFormat="false" ht="23.85" hidden="false" customHeight="false" outlineLevel="0" collapsed="false">
      <c r="A56" s="2" t="s">
        <v>207</v>
      </c>
      <c r="B56" s="2" t="s">
        <v>203</v>
      </c>
      <c r="C56" s="2" t="s">
        <v>54</v>
      </c>
      <c r="D56" s="2" t="s">
        <v>204</v>
      </c>
      <c r="E56" s="2" t="s">
        <v>39</v>
      </c>
      <c r="F56" s="2" t="s">
        <v>22</v>
      </c>
      <c r="G56" s="2" t="n">
        <f aca="false">IF(F56="FOUND",1,IF(F56="PARTIAL",0.5,0))</f>
        <v>1</v>
      </c>
      <c r="H56" s="2" t="n">
        <v>1</v>
      </c>
      <c r="I56" s="2" t="n">
        <f aca="false">H56*1</f>
        <v>1</v>
      </c>
      <c r="J56" s="2" t="n">
        <v>0</v>
      </c>
      <c r="K56" s="2"/>
      <c r="L56" s="2" t="n">
        <f aca="false">IF(J56=1,0,1)</f>
        <v>1</v>
      </c>
      <c r="M56" s="2" t="n">
        <v>0</v>
      </c>
      <c r="N56" s="2" t="n">
        <f aca="false">M56*1</f>
        <v>0</v>
      </c>
      <c r="O56" s="3" t="n">
        <f aca="false">ROUND(G56*0.25+I56*0.15+L56*0.25+N56*0.35,2)</f>
        <v>0.65</v>
      </c>
      <c r="P56" s="2" t="str">
        <f aca="false">IF(O56&gt;=0.75,"A - likely reliable",IF(O56&gt;=0.5,"B - review carefully",IF(O56&gt;=0.25,"C - low trust","D - reject/re-extract")))</f>
        <v>B - review carefully</v>
      </c>
      <c r="Q56" s="2" t="s">
        <v>208</v>
      </c>
    </row>
    <row r="57" customFormat="false" ht="23.85" hidden="false" customHeight="false" outlineLevel="0" collapsed="false">
      <c r="A57" s="2" t="s">
        <v>209</v>
      </c>
      <c r="B57" s="2" t="s">
        <v>210</v>
      </c>
      <c r="C57" s="2" t="s">
        <v>87</v>
      </c>
      <c r="D57" s="2" t="s">
        <v>211</v>
      </c>
      <c r="E57" s="2" t="s">
        <v>159</v>
      </c>
      <c r="F57" s="2" t="s">
        <v>83</v>
      </c>
      <c r="G57" s="2" t="n">
        <f aca="false">IF(F57="FOUND",1,IF(F57="PARTIAL",0.5,0))</f>
        <v>0.5</v>
      </c>
      <c r="H57" s="2" t="n">
        <v>1</v>
      </c>
      <c r="I57" s="2" t="n">
        <f aca="false">H57*1</f>
        <v>1</v>
      </c>
      <c r="J57" s="2" t="n">
        <v>0</v>
      </c>
      <c r="K57" s="2"/>
      <c r="L57" s="2" t="n">
        <f aca="false">IF(J57=1,0,1)</f>
        <v>1</v>
      </c>
      <c r="M57" s="2" t="n">
        <v>0</v>
      </c>
      <c r="N57" s="2" t="n">
        <f aca="false">M57*1</f>
        <v>0</v>
      </c>
      <c r="O57" s="3" t="n">
        <f aca="false">ROUND(G57*0.25+I57*0.15+L57*0.25+N57*0.35,2)</f>
        <v>0.53</v>
      </c>
      <c r="P57" s="2" t="str">
        <f aca="false">IF(O57&gt;=0.75,"A - likely reliable",IF(O57&gt;=0.5,"B - review carefully",IF(O57&gt;=0.25,"C - low trust","D - reject/re-extract")))</f>
        <v>B - review carefully</v>
      </c>
      <c r="Q57" s="2" t="s">
        <v>84</v>
      </c>
    </row>
    <row r="58" customFormat="false" ht="23.85" hidden="false" customHeight="false" outlineLevel="0" collapsed="false">
      <c r="A58" s="2" t="s">
        <v>212</v>
      </c>
      <c r="B58" s="2" t="s">
        <v>75</v>
      </c>
      <c r="C58" s="2" t="s">
        <v>76</v>
      </c>
      <c r="D58" s="2" t="s">
        <v>213</v>
      </c>
      <c r="E58" s="2" t="s">
        <v>214</v>
      </c>
      <c r="F58" s="2" t="s">
        <v>22</v>
      </c>
      <c r="G58" s="2" t="n">
        <f aca="false">IF(F58="FOUND",1,IF(F58="PARTIAL",0.5,0))</f>
        <v>1</v>
      </c>
      <c r="H58" s="2" t="n">
        <v>1</v>
      </c>
      <c r="I58" s="2" t="n">
        <f aca="false">H58*1</f>
        <v>1</v>
      </c>
      <c r="J58" s="2" t="n">
        <v>0</v>
      </c>
      <c r="K58" s="2"/>
      <c r="L58" s="2" t="n">
        <f aca="false">IF(J58=1,0,1)</f>
        <v>1</v>
      </c>
      <c r="M58" s="2" t="n">
        <v>0</v>
      </c>
      <c r="N58" s="2" t="n">
        <f aca="false">M58*1</f>
        <v>0</v>
      </c>
      <c r="O58" s="3" t="n">
        <f aca="false">ROUND(G58*0.25+I58*0.15+L58*0.25+N58*0.35,2)</f>
        <v>0.65</v>
      </c>
      <c r="P58" s="2" t="str">
        <f aca="false">IF(O58&gt;=0.75,"A - likely reliable",IF(O58&gt;=0.5,"B - review carefully",IF(O58&gt;=0.25,"C - low trust","D - reject/re-extract")))</f>
        <v>B - review carefully</v>
      </c>
      <c r="Q58" s="2" t="s">
        <v>215</v>
      </c>
    </row>
    <row r="59" customFormat="false" ht="35.05" hidden="false" customHeight="false" outlineLevel="0" collapsed="false">
      <c r="A59" s="2" t="s">
        <v>216</v>
      </c>
      <c r="B59" s="2" t="s">
        <v>217</v>
      </c>
      <c r="C59" s="2" t="s">
        <v>87</v>
      </c>
      <c r="D59" s="2" t="s">
        <v>218</v>
      </c>
      <c r="E59" s="2" t="s">
        <v>65</v>
      </c>
      <c r="F59" s="2" t="s">
        <v>22</v>
      </c>
      <c r="G59" s="2" t="n">
        <f aca="false">IF(F59="FOUND",1,IF(F59="PARTIAL",0.5,0))</f>
        <v>1</v>
      </c>
      <c r="H59" s="2" t="n">
        <v>1</v>
      </c>
      <c r="I59" s="2" t="n">
        <f aca="false">H59*1</f>
        <v>1</v>
      </c>
      <c r="J59" s="2" t="n">
        <v>0</v>
      </c>
      <c r="K59" s="2"/>
      <c r="L59" s="2" t="n">
        <f aca="false">IF(J59=1,0,1)</f>
        <v>1</v>
      </c>
      <c r="M59" s="2" t="n">
        <v>0</v>
      </c>
      <c r="N59" s="2" t="n">
        <f aca="false">M59*1</f>
        <v>0</v>
      </c>
      <c r="O59" s="3" t="n">
        <f aca="false">ROUND(G59*0.25+I59*0.15+L59*0.25+N59*0.35,2)</f>
        <v>0.65</v>
      </c>
      <c r="P59" s="2" t="str">
        <f aca="false">IF(O59&gt;=0.75,"A - likely reliable",IF(O59&gt;=0.5,"B - review carefully",IF(O59&gt;=0.25,"C - low trust","D - reject/re-extract")))</f>
        <v>B - review carefully</v>
      </c>
      <c r="Q59" s="2" t="s">
        <v>219</v>
      </c>
    </row>
    <row r="60" customFormat="false" ht="23.85" hidden="false" customHeight="false" outlineLevel="0" collapsed="false">
      <c r="A60" s="2" t="s">
        <v>220</v>
      </c>
      <c r="B60" s="2" t="s">
        <v>18</v>
      </c>
      <c r="C60" s="2" t="s">
        <v>19</v>
      </c>
      <c r="D60" s="2" t="s">
        <v>221</v>
      </c>
      <c r="E60" s="2" t="s">
        <v>222</v>
      </c>
      <c r="F60" s="2" t="s">
        <v>22</v>
      </c>
      <c r="G60" s="2" t="n">
        <f aca="false">IF(F60="FOUND",1,IF(F60="PARTIAL",0.5,0))</f>
        <v>1</v>
      </c>
      <c r="H60" s="2" t="n">
        <v>1</v>
      </c>
      <c r="I60" s="2" t="n">
        <f aca="false">H60*1</f>
        <v>1</v>
      </c>
      <c r="J60" s="2" t="n">
        <v>0</v>
      </c>
      <c r="K60" s="2"/>
      <c r="L60" s="2" t="n">
        <f aca="false">IF(J60=1,0,1)</f>
        <v>1</v>
      </c>
      <c r="M60" s="2" t="n">
        <v>0</v>
      </c>
      <c r="N60" s="2" t="n">
        <f aca="false">M60*1</f>
        <v>0</v>
      </c>
      <c r="O60" s="3" t="n">
        <f aca="false">ROUND(G60*0.25+I60*0.15+L60*0.25+N60*0.35,2)</f>
        <v>0.65</v>
      </c>
      <c r="P60" s="2" t="str">
        <f aca="false">IF(O60&gt;=0.75,"A - likely reliable",IF(O60&gt;=0.5,"B - review carefully",IF(O60&gt;=0.25,"C - low trust","D - reject/re-extract")))</f>
        <v>B - review carefully</v>
      </c>
      <c r="Q60" s="2" t="s">
        <v>223</v>
      </c>
    </row>
    <row r="61" customFormat="false" ht="23.85" hidden="false" customHeight="false" outlineLevel="0" collapsed="false">
      <c r="A61" s="2" t="s">
        <v>224</v>
      </c>
      <c r="B61" s="2" t="s">
        <v>225</v>
      </c>
      <c r="C61" s="2" t="s">
        <v>226</v>
      </c>
      <c r="D61" s="2" t="s">
        <v>227</v>
      </c>
      <c r="E61" s="2" t="s">
        <v>65</v>
      </c>
      <c r="F61" s="2" t="s">
        <v>22</v>
      </c>
      <c r="G61" s="2" t="n">
        <f aca="false">IF(F61="FOUND",1,IF(F61="PARTIAL",0.5,0))</f>
        <v>1</v>
      </c>
      <c r="H61" s="2" t="n">
        <v>1</v>
      </c>
      <c r="I61" s="2" t="n">
        <f aca="false">H61*1</f>
        <v>1</v>
      </c>
      <c r="J61" s="2" t="n">
        <v>0</v>
      </c>
      <c r="K61" s="2"/>
      <c r="L61" s="2" t="n">
        <f aca="false">IF(J61=1,0,1)</f>
        <v>1</v>
      </c>
      <c r="M61" s="2" t="n">
        <v>0</v>
      </c>
      <c r="N61" s="2" t="n">
        <f aca="false">M61*1</f>
        <v>0</v>
      </c>
      <c r="O61" s="3" t="n">
        <f aca="false">ROUND(G61*0.25+I61*0.15+L61*0.25+N61*0.35,2)</f>
        <v>0.65</v>
      </c>
      <c r="P61" s="2" t="str">
        <f aca="false">IF(O61&gt;=0.75,"A - likely reliable",IF(O61&gt;=0.5,"B - review carefully",IF(O61&gt;=0.25,"C - low trust","D - reject/re-extract")))</f>
        <v>B - review carefully</v>
      </c>
      <c r="Q61" s="2" t="s">
        <v>228</v>
      </c>
    </row>
    <row r="62" customFormat="false" ht="23.85" hidden="false" customHeight="false" outlineLevel="0" collapsed="false">
      <c r="A62" s="2" t="s">
        <v>229</v>
      </c>
      <c r="B62" s="2" t="s">
        <v>225</v>
      </c>
      <c r="C62" s="2" t="s">
        <v>226</v>
      </c>
      <c r="D62" s="2" t="s">
        <v>227</v>
      </c>
      <c r="E62" s="2" t="s">
        <v>230</v>
      </c>
      <c r="F62" s="2" t="s">
        <v>22</v>
      </c>
      <c r="G62" s="2" t="n">
        <f aca="false">IF(F62="FOUND",1,IF(F62="PARTIAL",0.5,0))</f>
        <v>1</v>
      </c>
      <c r="H62" s="2" t="n">
        <v>1</v>
      </c>
      <c r="I62" s="2" t="n">
        <f aca="false">H62*1</f>
        <v>1</v>
      </c>
      <c r="J62" s="2" t="n">
        <v>0</v>
      </c>
      <c r="K62" s="2"/>
      <c r="L62" s="2" t="n">
        <f aca="false">IF(J62=1,0,1)</f>
        <v>1</v>
      </c>
      <c r="M62" s="2" t="n">
        <v>0</v>
      </c>
      <c r="N62" s="2" t="n">
        <f aca="false">M62*1</f>
        <v>0</v>
      </c>
      <c r="O62" s="3" t="n">
        <f aca="false">ROUND(G62*0.25+I62*0.15+L62*0.25+N62*0.35,2)</f>
        <v>0.65</v>
      </c>
      <c r="P62" s="2" t="str">
        <f aca="false">IF(O62&gt;=0.75,"A - likely reliable",IF(O62&gt;=0.5,"B - review carefully",IF(O62&gt;=0.25,"C - low trust","D - reject/re-extract")))</f>
        <v>B - review carefully</v>
      </c>
      <c r="Q62" s="2" t="s">
        <v>231</v>
      </c>
    </row>
    <row r="63" customFormat="false" ht="23.85" hidden="false" customHeight="false" outlineLevel="0" collapsed="false">
      <c r="A63" s="2" t="s">
        <v>232</v>
      </c>
      <c r="B63" s="2" t="s">
        <v>233</v>
      </c>
      <c r="C63" s="2" t="s">
        <v>63</v>
      </c>
      <c r="D63" s="2" t="s">
        <v>234</v>
      </c>
      <c r="E63" s="2" t="s">
        <v>235</v>
      </c>
      <c r="F63" s="2" t="s">
        <v>236</v>
      </c>
      <c r="G63" s="2" t="n">
        <f aca="false">IF(F63="FOUND",1,IF(F63="PARTIAL",0.5,0))</f>
        <v>0</v>
      </c>
      <c r="H63" s="2" t="n">
        <v>1</v>
      </c>
      <c r="I63" s="2" t="n">
        <f aca="false">H63*1</f>
        <v>1</v>
      </c>
      <c r="J63" s="2" t="n">
        <v>0</v>
      </c>
      <c r="K63" s="2"/>
      <c r="L63" s="2" t="n">
        <f aca="false">IF(J63=1,0,1)</f>
        <v>1</v>
      </c>
      <c r="M63" s="2" t="n">
        <v>0</v>
      </c>
      <c r="N63" s="2" t="n">
        <f aca="false">M63*1</f>
        <v>0</v>
      </c>
      <c r="O63" s="3" t="n">
        <f aca="false">ROUND(G63*0.25+I63*0.15+L63*0.25+N63*0.35,2)</f>
        <v>0.4</v>
      </c>
      <c r="P63" s="2" t="str">
        <f aca="false">IF(O63&gt;=0.75,"A - likely reliable",IF(O63&gt;=0.5,"B - review carefully",IF(O63&gt;=0.25,"C - low trust","D - reject/re-extract")))</f>
        <v>C - low trust</v>
      </c>
      <c r="Q63" s="2" t="s">
        <v>237</v>
      </c>
    </row>
    <row r="64" customFormat="false" ht="23.85" hidden="false" customHeight="false" outlineLevel="0" collapsed="false">
      <c r="A64" s="2" t="s">
        <v>238</v>
      </c>
      <c r="B64" s="2" t="s">
        <v>239</v>
      </c>
      <c r="C64" s="2" t="s">
        <v>149</v>
      </c>
      <c r="D64" s="2" t="s">
        <v>234</v>
      </c>
      <c r="E64" s="2" t="s">
        <v>240</v>
      </c>
      <c r="F64" s="2" t="s">
        <v>236</v>
      </c>
      <c r="G64" s="2" t="n">
        <f aca="false">IF(F64="FOUND",1,IF(F64="PARTIAL",0.5,0))</f>
        <v>0</v>
      </c>
      <c r="H64" s="2" t="n">
        <v>0</v>
      </c>
      <c r="I64" s="2" t="n">
        <f aca="false">H64*1</f>
        <v>0</v>
      </c>
      <c r="J64" s="2" t="n">
        <v>0</v>
      </c>
      <c r="K64" s="2"/>
      <c r="L64" s="2" t="n">
        <f aca="false">IF(J64=1,0,1)</f>
        <v>1</v>
      </c>
      <c r="M64" s="2" t="n">
        <v>0</v>
      </c>
      <c r="N64" s="2" t="n">
        <f aca="false">M64*1</f>
        <v>0</v>
      </c>
      <c r="O64" s="3" t="n">
        <f aca="false">ROUND(G64*0.25+I64*0.15+L64*0.25+N64*0.35,2)</f>
        <v>0.25</v>
      </c>
      <c r="P64" s="2" t="str">
        <f aca="false">IF(O64&gt;=0.75,"A - likely reliable",IF(O64&gt;=0.5,"B - review carefully",IF(O64&gt;=0.25,"C - low trust","D - reject/re-extract")))</f>
        <v>C - low trust</v>
      </c>
      <c r="Q64" s="2" t="s">
        <v>241</v>
      </c>
    </row>
    <row r="65" customFormat="false" ht="23.85" hidden="false" customHeight="false" outlineLevel="0" collapsed="false">
      <c r="A65" s="2" t="s">
        <v>242</v>
      </c>
      <c r="B65" s="2" t="s">
        <v>243</v>
      </c>
      <c r="C65" s="2" t="s">
        <v>149</v>
      </c>
      <c r="D65" s="2" t="s">
        <v>234</v>
      </c>
      <c r="E65" s="2" t="s">
        <v>244</v>
      </c>
      <c r="F65" s="2" t="s">
        <v>236</v>
      </c>
      <c r="G65" s="2" t="n">
        <f aca="false">IF(F65="FOUND",1,IF(F65="PARTIAL",0.5,0))</f>
        <v>0</v>
      </c>
      <c r="H65" s="2" t="n">
        <v>0</v>
      </c>
      <c r="I65" s="2" t="n">
        <f aca="false">H65*1</f>
        <v>0</v>
      </c>
      <c r="J65" s="2" t="n">
        <v>0</v>
      </c>
      <c r="K65" s="2"/>
      <c r="L65" s="2" t="n">
        <f aca="false">IF(J65=1,0,1)</f>
        <v>1</v>
      </c>
      <c r="M65" s="2" t="n">
        <v>0</v>
      </c>
      <c r="N65" s="2" t="n">
        <f aca="false">M65*1</f>
        <v>0</v>
      </c>
      <c r="O65" s="3" t="n">
        <f aca="false">ROUND(G65*0.25+I65*0.15+L65*0.25+N65*0.35,2)</f>
        <v>0.25</v>
      </c>
      <c r="P65" s="2" t="str">
        <f aca="false">IF(O65&gt;=0.75,"A - likely reliable",IF(O65&gt;=0.5,"B - review carefully",IF(O65&gt;=0.25,"C - low trust","D - reject/re-extract")))</f>
        <v>C - low trust</v>
      </c>
      <c r="Q65" s="2" t="s">
        <v>241</v>
      </c>
    </row>
    <row r="66" customFormat="false" ht="23.85" hidden="false" customHeight="false" outlineLevel="0" collapsed="false">
      <c r="A66" s="2" t="s">
        <v>245</v>
      </c>
      <c r="B66" s="2" t="s">
        <v>246</v>
      </c>
      <c r="C66" s="2" t="s">
        <v>149</v>
      </c>
      <c r="D66" s="2" t="s">
        <v>247</v>
      </c>
      <c r="E66" s="2" t="s">
        <v>248</v>
      </c>
      <c r="F66" s="2" t="s">
        <v>22</v>
      </c>
      <c r="G66" s="2" t="n">
        <f aca="false">IF(F66="FOUND",1,IF(F66="PARTIAL",0.5,0))</f>
        <v>1</v>
      </c>
      <c r="H66" s="2" t="n">
        <v>0</v>
      </c>
      <c r="I66" s="2" t="n">
        <f aca="false">H66*1</f>
        <v>0</v>
      </c>
      <c r="J66" s="2" t="n">
        <v>0</v>
      </c>
      <c r="K66" s="2"/>
      <c r="L66" s="2" t="n">
        <f aca="false">IF(J66=1,0,1)</f>
        <v>1</v>
      </c>
      <c r="M66" s="2" t="n">
        <v>1</v>
      </c>
      <c r="N66" s="2" t="n">
        <f aca="false">M66*1</f>
        <v>1</v>
      </c>
      <c r="O66" s="3" t="n">
        <f aca="false">ROUND(G66*0.25+I66*0.15+L66*0.25+N66*0.35,2)</f>
        <v>0.85</v>
      </c>
      <c r="P66" s="2" t="str">
        <f aca="false">IF(O66&gt;=0.75,"A - likely reliable",IF(O66&gt;=0.5,"B - review carefully",IF(O66&gt;=0.25,"C - low trust","D - reject/re-extract")))</f>
        <v>A - likely reliable</v>
      </c>
      <c r="Q66" s="2" t="s">
        <v>249</v>
      </c>
    </row>
    <row r="67" customFormat="false" ht="23.85" hidden="false" customHeight="false" outlineLevel="0" collapsed="false">
      <c r="A67" s="2" t="s">
        <v>250</v>
      </c>
      <c r="B67" s="2" t="s">
        <v>251</v>
      </c>
      <c r="C67" s="2" t="s">
        <v>76</v>
      </c>
      <c r="D67" s="2" t="s">
        <v>252</v>
      </c>
      <c r="E67" s="2" t="s">
        <v>253</v>
      </c>
      <c r="F67" s="2" t="s">
        <v>22</v>
      </c>
      <c r="G67" s="2" t="n">
        <f aca="false">IF(F67="FOUND",1,IF(F67="PARTIAL",0.5,0))</f>
        <v>1</v>
      </c>
      <c r="H67" s="2" t="n">
        <v>1</v>
      </c>
      <c r="I67" s="2" t="n">
        <f aca="false">H67*1</f>
        <v>1</v>
      </c>
      <c r="J67" s="2" t="n">
        <v>0</v>
      </c>
      <c r="K67" s="2"/>
      <c r="L67" s="2" t="n">
        <f aca="false">IF(J67=1,0,1)</f>
        <v>1</v>
      </c>
      <c r="M67" s="2" t="n">
        <v>0</v>
      </c>
      <c r="N67" s="2" t="n">
        <f aca="false">M67*1</f>
        <v>0</v>
      </c>
      <c r="O67" s="3" t="n">
        <f aca="false">ROUND(G67*0.25+I67*0.15+L67*0.25+N67*0.35,2)</f>
        <v>0.65</v>
      </c>
      <c r="P67" s="2" t="str">
        <f aca="false">IF(O67&gt;=0.75,"A - likely reliable",IF(O67&gt;=0.5,"B - review carefully",IF(O67&gt;=0.25,"C - low trust","D - reject/re-extract")))</f>
        <v>B - review carefully</v>
      </c>
      <c r="Q67" s="2" t="s">
        <v>254</v>
      </c>
    </row>
    <row r="68" customFormat="false" ht="23.85" hidden="false" customHeight="false" outlineLevel="0" collapsed="false">
      <c r="A68" s="2" t="s">
        <v>255</v>
      </c>
      <c r="B68" s="2" t="s">
        <v>75</v>
      </c>
      <c r="C68" s="2" t="s">
        <v>76</v>
      </c>
      <c r="D68" s="2" t="s">
        <v>256</v>
      </c>
      <c r="E68" s="2" t="s">
        <v>257</v>
      </c>
      <c r="F68" s="2" t="s">
        <v>22</v>
      </c>
      <c r="G68" s="2" t="n">
        <f aca="false">IF(F68="FOUND",1,IF(F68="PARTIAL",0.5,0))</f>
        <v>1</v>
      </c>
      <c r="H68" s="2" t="n">
        <v>1</v>
      </c>
      <c r="I68" s="2" t="n">
        <f aca="false">H68*1</f>
        <v>1</v>
      </c>
      <c r="J68" s="2" t="n">
        <v>0</v>
      </c>
      <c r="K68" s="2"/>
      <c r="L68" s="2" t="n">
        <f aca="false">IF(J68=1,0,1)</f>
        <v>1</v>
      </c>
      <c r="M68" s="2" t="n">
        <v>0</v>
      </c>
      <c r="N68" s="2" t="n">
        <f aca="false">M68*1</f>
        <v>0</v>
      </c>
      <c r="O68" s="3" t="n">
        <f aca="false">ROUND(G68*0.25+I68*0.15+L68*0.25+N68*0.35,2)</f>
        <v>0.65</v>
      </c>
      <c r="P68" s="2" t="str">
        <f aca="false">IF(O68&gt;=0.75,"A - likely reliable",IF(O68&gt;=0.5,"B - review carefully",IF(O68&gt;=0.25,"C - low trust","D - reject/re-extract")))</f>
        <v>B - review carefully</v>
      </c>
      <c r="Q68" s="2" t="s">
        <v>258</v>
      </c>
    </row>
    <row r="69" customFormat="false" ht="23.85" hidden="false" customHeight="false" outlineLevel="0" collapsed="false">
      <c r="A69" s="2" t="s">
        <v>259</v>
      </c>
      <c r="B69" s="2" t="s">
        <v>260</v>
      </c>
      <c r="C69" s="2" t="s">
        <v>226</v>
      </c>
      <c r="D69" s="2" t="s">
        <v>261</v>
      </c>
      <c r="E69" s="2" t="s">
        <v>262</v>
      </c>
      <c r="F69" s="2" t="s">
        <v>22</v>
      </c>
      <c r="G69" s="2" t="n">
        <f aca="false">IF(F69="FOUND",1,IF(F69="PARTIAL",0.5,0))</f>
        <v>1</v>
      </c>
      <c r="H69" s="2" t="n">
        <v>1</v>
      </c>
      <c r="I69" s="2" t="n">
        <f aca="false">H69*1</f>
        <v>1</v>
      </c>
      <c r="J69" s="2" t="n">
        <v>0</v>
      </c>
      <c r="K69" s="2"/>
      <c r="L69" s="2" t="n">
        <f aca="false">IF(J69=1,0,1)</f>
        <v>1</v>
      </c>
      <c r="M69" s="2" t="n">
        <v>0</v>
      </c>
      <c r="N69" s="2" t="n">
        <f aca="false">M69*1</f>
        <v>0</v>
      </c>
      <c r="O69" s="3" t="n">
        <f aca="false">ROUND(G69*0.25+I69*0.15+L69*0.25+N69*0.35,2)</f>
        <v>0.65</v>
      </c>
      <c r="P69" s="2" t="str">
        <f aca="false">IF(O69&gt;=0.75,"A - likely reliable",IF(O69&gt;=0.5,"B - review carefully",IF(O69&gt;=0.25,"C - low trust","D - reject/re-extract")))</f>
        <v>B - review carefully</v>
      </c>
      <c r="Q69" s="2" t="s">
        <v>258</v>
      </c>
    </row>
    <row r="70" customFormat="false" ht="23.85" hidden="false" customHeight="false" outlineLevel="0" collapsed="false">
      <c r="A70" s="2" t="s">
        <v>263</v>
      </c>
      <c r="B70" s="2" t="s">
        <v>264</v>
      </c>
      <c r="C70" s="2" t="s">
        <v>19</v>
      </c>
      <c r="D70" s="2" t="s">
        <v>265</v>
      </c>
      <c r="E70" s="2" t="s">
        <v>56</v>
      </c>
      <c r="F70" s="2" t="s">
        <v>83</v>
      </c>
      <c r="G70" s="2" t="n">
        <f aca="false">IF(F70="FOUND",1,IF(F70="PARTIAL",0.5,0))</f>
        <v>0.5</v>
      </c>
      <c r="H70" s="2" t="n">
        <v>1</v>
      </c>
      <c r="I70" s="2" t="n">
        <f aca="false">H70*1</f>
        <v>1</v>
      </c>
      <c r="J70" s="2" t="n">
        <v>0</v>
      </c>
      <c r="K70" s="2"/>
      <c r="L70" s="2" t="n">
        <f aca="false">IF(J70=1,0,1)</f>
        <v>1</v>
      </c>
      <c r="M70" s="2" t="n">
        <v>0</v>
      </c>
      <c r="N70" s="2" t="n">
        <f aca="false">M70*1</f>
        <v>0</v>
      </c>
      <c r="O70" s="3" t="n">
        <f aca="false">ROUND(G70*0.25+I70*0.15+L70*0.25+N70*0.35,2)</f>
        <v>0.53</v>
      </c>
      <c r="P70" s="2" t="str">
        <f aca="false">IF(O70&gt;=0.75,"A - likely reliable",IF(O70&gt;=0.5,"B - review carefully",IF(O70&gt;=0.25,"C - low trust","D - reject/re-extract")))</f>
        <v>B - review carefully</v>
      </c>
      <c r="Q70" s="2" t="s">
        <v>84</v>
      </c>
    </row>
    <row r="71" customFormat="false" ht="23.85" hidden="false" customHeight="false" outlineLevel="0" collapsed="false">
      <c r="A71" s="2" t="s">
        <v>266</v>
      </c>
      <c r="B71" s="2" t="s">
        <v>267</v>
      </c>
      <c r="C71" s="2" t="s">
        <v>149</v>
      </c>
      <c r="D71" s="2" t="s">
        <v>268</v>
      </c>
      <c r="E71" s="2" t="s">
        <v>269</v>
      </c>
      <c r="F71" s="2" t="s">
        <v>22</v>
      </c>
      <c r="G71" s="2" t="n">
        <f aca="false">IF(F71="FOUND",1,IF(F71="PARTIAL",0.5,0))</f>
        <v>1</v>
      </c>
      <c r="H71" s="2" t="n">
        <v>0</v>
      </c>
      <c r="I71" s="2" t="n">
        <f aca="false">H71*1</f>
        <v>0</v>
      </c>
      <c r="J71" s="2" t="n">
        <v>0</v>
      </c>
      <c r="K71" s="2"/>
      <c r="L71" s="2" t="n">
        <f aca="false">IF(J71=1,0,1)</f>
        <v>1</v>
      </c>
      <c r="M71" s="2" t="n">
        <v>0</v>
      </c>
      <c r="N71" s="2" t="n">
        <f aca="false">M71*1</f>
        <v>0</v>
      </c>
      <c r="O71" s="3" t="n">
        <f aca="false">ROUND(G71*0.25+I71*0.15+L71*0.25+N71*0.35,2)</f>
        <v>0.5</v>
      </c>
      <c r="P71" s="2" t="str">
        <f aca="false">IF(O71&gt;=0.75,"A - likely reliable",IF(O71&gt;=0.5,"B - review carefully",IF(O71&gt;=0.25,"C - low trust","D - reject/re-extract")))</f>
        <v>B - review carefully</v>
      </c>
      <c r="Q71" s="2" t="s">
        <v>270</v>
      </c>
    </row>
    <row r="72" customFormat="false" ht="35.05" hidden="false" customHeight="false" outlineLevel="0" collapsed="false">
      <c r="A72" s="2" t="s">
        <v>271</v>
      </c>
      <c r="B72" s="2" t="s">
        <v>272</v>
      </c>
      <c r="C72" s="2" t="s">
        <v>149</v>
      </c>
      <c r="D72" s="2" t="s">
        <v>268</v>
      </c>
      <c r="E72" s="2" t="s">
        <v>273</v>
      </c>
      <c r="F72" s="2" t="s">
        <v>22</v>
      </c>
      <c r="G72" s="2" t="n">
        <f aca="false">IF(F72="FOUND",1,IF(F72="PARTIAL",0.5,0))</f>
        <v>1</v>
      </c>
      <c r="H72" s="2" t="n">
        <v>0</v>
      </c>
      <c r="I72" s="2" t="n">
        <f aca="false">H72*1</f>
        <v>0</v>
      </c>
      <c r="J72" s="2" t="n">
        <v>0</v>
      </c>
      <c r="K72" s="2"/>
      <c r="L72" s="2" t="n">
        <f aca="false">IF(J72=1,0,1)</f>
        <v>1</v>
      </c>
      <c r="M72" s="2" t="n">
        <v>0</v>
      </c>
      <c r="N72" s="2" t="n">
        <f aca="false">M72*1</f>
        <v>0</v>
      </c>
      <c r="O72" s="3" t="n">
        <f aca="false">ROUND(G72*0.25+I72*0.15+L72*0.25+N72*0.35,2)</f>
        <v>0.5</v>
      </c>
      <c r="P72" s="2" t="str">
        <f aca="false">IF(O72&gt;=0.75,"A - likely reliable",IF(O72&gt;=0.5,"B - review carefully",IF(O72&gt;=0.25,"C - low trust","D - reject/re-extract")))</f>
        <v>B - review carefully</v>
      </c>
      <c r="Q72" s="2" t="s">
        <v>274</v>
      </c>
    </row>
    <row r="73" customFormat="false" ht="23.85" hidden="false" customHeight="false" outlineLevel="0" collapsed="false">
      <c r="A73" s="2" t="s">
        <v>275</v>
      </c>
      <c r="B73" s="2" t="s">
        <v>276</v>
      </c>
      <c r="C73" s="2" t="s">
        <v>149</v>
      </c>
      <c r="D73" s="2" t="s">
        <v>268</v>
      </c>
      <c r="E73" s="2" t="s">
        <v>273</v>
      </c>
      <c r="F73" s="2" t="s">
        <v>22</v>
      </c>
      <c r="G73" s="2" t="n">
        <f aca="false">IF(F73="FOUND",1,IF(F73="PARTIAL",0.5,0))</f>
        <v>1</v>
      </c>
      <c r="H73" s="2" t="n">
        <v>0</v>
      </c>
      <c r="I73" s="2" t="n">
        <f aca="false">H73*1</f>
        <v>0</v>
      </c>
      <c r="J73" s="2" t="n">
        <v>0</v>
      </c>
      <c r="K73" s="2"/>
      <c r="L73" s="2" t="n">
        <f aca="false">IF(J73=1,0,1)</f>
        <v>1</v>
      </c>
      <c r="M73" s="2" t="n">
        <v>0</v>
      </c>
      <c r="N73" s="2" t="n">
        <f aca="false">M73*1</f>
        <v>0</v>
      </c>
      <c r="O73" s="3" t="n">
        <f aca="false">ROUND(G73*0.25+I73*0.15+L73*0.25+N73*0.35,2)</f>
        <v>0.5</v>
      </c>
      <c r="P73" s="2" t="str">
        <f aca="false">IF(O73&gt;=0.75,"A - likely reliable",IF(O73&gt;=0.5,"B - review carefully",IF(O73&gt;=0.25,"C - low trust","D - reject/re-extract")))</f>
        <v>B - review carefully</v>
      </c>
      <c r="Q73" s="2" t="s">
        <v>277</v>
      </c>
    </row>
    <row r="74" customFormat="false" ht="23.85" hidden="false" customHeight="false" outlineLevel="0" collapsed="false">
      <c r="A74" s="2" t="s">
        <v>278</v>
      </c>
      <c r="B74" s="2" t="s">
        <v>279</v>
      </c>
      <c r="C74" s="2" t="s">
        <v>149</v>
      </c>
      <c r="D74" s="2" t="s">
        <v>268</v>
      </c>
      <c r="E74" s="2" t="s">
        <v>273</v>
      </c>
      <c r="F74" s="2" t="s">
        <v>22</v>
      </c>
      <c r="G74" s="2" t="n">
        <f aca="false">IF(F74="FOUND",1,IF(F74="PARTIAL",0.5,0))</f>
        <v>1</v>
      </c>
      <c r="H74" s="2" t="n">
        <v>0</v>
      </c>
      <c r="I74" s="2" t="n">
        <f aca="false">H74*1</f>
        <v>0</v>
      </c>
      <c r="J74" s="2" t="n">
        <v>0</v>
      </c>
      <c r="K74" s="2"/>
      <c r="L74" s="2" t="n">
        <f aca="false">IF(J74=1,0,1)</f>
        <v>1</v>
      </c>
      <c r="M74" s="2" t="n">
        <v>0</v>
      </c>
      <c r="N74" s="2" t="n">
        <f aca="false">M74*1</f>
        <v>0</v>
      </c>
      <c r="O74" s="3" t="n">
        <f aca="false">ROUND(G74*0.25+I74*0.15+L74*0.25+N74*0.35,2)</f>
        <v>0.5</v>
      </c>
      <c r="P74" s="2" t="str">
        <f aca="false">IF(O74&gt;=0.75,"A - likely reliable",IF(O74&gt;=0.5,"B - review carefully",IF(O74&gt;=0.25,"C - low trust","D - reject/re-extract")))</f>
        <v>B - review carefully</v>
      </c>
      <c r="Q74" s="2" t="s">
        <v>280</v>
      </c>
    </row>
    <row r="75" customFormat="false" ht="23.85" hidden="false" customHeight="false" outlineLevel="0" collapsed="false">
      <c r="A75" s="2" t="s">
        <v>281</v>
      </c>
      <c r="B75" s="2" t="s">
        <v>282</v>
      </c>
      <c r="C75" s="2" t="s">
        <v>149</v>
      </c>
      <c r="D75" s="2" t="s">
        <v>268</v>
      </c>
      <c r="E75" s="2" t="s">
        <v>273</v>
      </c>
      <c r="F75" s="2" t="s">
        <v>22</v>
      </c>
      <c r="G75" s="2" t="n">
        <f aca="false">IF(F75="FOUND",1,IF(F75="PARTIAL",0.5,0))</f>
        <v>1</v>
      </c>
      <c r="H75" s="2" t="n">
        <v>0</v>
      </c>
      <c r="I75" s="2" t="n">
        <f aca="false">H75*1</f>
        <v>0</v>
      </c>
      <c r="J75" s="2" t="n">
        <v>0</v>
      </c>
      <c r="K75" s="2"/>
      <c r="L75" s="2" t="n">
        <f aca="false">IF(J75=1,0,1)</f>
        <v>1</v>
      </c>
      <c r="M75" s="2" t="n">
        <v>0</v>
      </c>
      <c r="N75" s="2" t="n">
        <f aca="false">M75*1</f>
        <v>0</v>
      </c>
      <c r="O75" s="3" t="n">
        <f aca="false">ROUND(G75*0.25+I75*0.15+L75*0.25+N75*0.35,2)</f>
        <v>0.5</v>
      </c>
      <c r="P75" s="2" t="str">
        <f aca="false">IF(O75&gt;=0.75,"A - likely reliable",IF(O75&gt;=0.5,"B - review carefully",IF(O75&gt;=0.25,"C - low trust","D - reject/re-extract")))</f>
        <v>B - review carefully</v>
      </c>
      <c r="Q75" s="2" t="s">
        <v>283</v>
      </c>
    </row>
    <row r="76" customFormat="false" ht="23.85" hidden="false" customHeight="false" outlineLevel="0" collapsed="false">
      <c r="A76" s="2" t="s">
        <v>284</v>
      </c>
      <c r="B76" s="2" t="s">
        <v>285</v>
      </c>
      <c r="C76" s="2" t="s">
        <v>149</v>
      </c>
      <c r="D76" s="2" t="s">
        <v>268</v>
      </c>
      <c r="E76" s="2" t="s">
        <v>286</v>
      </c>
      <c r="F76" s="2" t="s">
        <v>22</v>
      </c>
      <c r="G76" s="2" t="n">
        <f aca="false">IF(F76="FOUND",1,IF(F76="PARTIAL",0.5,0))</f>
        <v>1</v>
      </c>
      <c r="H76" s="2" t="n">
        <v>0</v>
      </c>
      <c r="I76" s="2" t="n">
        <f aca="false">H76*1</f>
        <v>0</v>
      </c>
      <c r="J76" s="2" t="n">
        <v>0</v>
      </c>
      <c r="K76" s="2"/>
      <c r="L76" s="2" t="n">
        <f aca="false">IF(J76=1,0,1)</f>
        <v>1</v>
      </c>
      <c r="M76" s="2" t="n">
        <v>0</v>
      </c>
      <c r="N76" s="2" t="n">
        <f aca="false">M76*1</f>
        <v>0</v>
      </c>
      <c r="O76" s="3" t="n">
        <f aca="false">ROUND(G76*0.25+I76*0.15+L76*0.25+N76*0.35,2)</f>
        <v>0.5</v>
      </c>
      <c r="P76" s="2" t="str">
        <f aca="false">IF(O76&gt;=0.75,"A - likely reliable",IF(O76&gt;=0.5,"B - review carefully",IF(O76&gt;=0.25,"C - low trust","D - reject/re-extract")))</f>
        <v>B - review carefully</v>
      </c>
      <c r="Q76" s="2" t="s">
        <v>287</v>
      </c>
    </row>
    <row r="77" customFormat="false" ht="23.85" hidden="false" customHeight="false" outlineLevel="0" collapsed="false">
      <c r="A77" s="2" t="s">
        <v>288</v>
      </c>
      <c r="B77" s="2" t="s">
        <v>289</v>
      </c>
      <c r="C77" s="2" t="s">
        <v>149</v>
      </c>
      <c r="D77" s="2" t="s">
        <v>268</v>
      </c>
      <c r="E77" s="2" t="s">
        <v>273</v>
      </c>
      <c r="F77" s="2" t="s">
        <v>22</v>
      </c>
      <c r="G77" s="2" t="n">
        <f aca="false">IF(F77="FOUND",1,IF(F77="PARTIAL",0.5,0))</f>
        <v>1</v>
      </c>
      <c r="H77" s="2" t="n">
        <v>0</v>
      </c>
      <c r="I77" s="2" t="n">
        <f aca="false">H77*1</f>
        <v>0</v>
      </c>
      <c r="J77" s="2" t="n">
        <v>0</v>
      </c>
      <c r="K77" s="2"/>
      <c r="L77" s="2" t="n">
        <f aca="false">IF(J77=1,0,1)</f>
        <v>1</v>
      </c>
      <c r="M77" s="2" t="n">
        <v>0</v>
      </c>
      <c r="N77" s="2" t="n">
        <f aca="false">M77*1</f>
        <v>0</v>
      </c>
      <c r="O77" s="3" t="n">
        <f aca="false">ROUND(G77*0.25+I77*0.15+L77*0.25+N77*0.35,2)</f>
        <v>0.5</v>
      </c>
      <c r="P77" s="2" t="str">
        <f aca="false">IF(O77&gt;=0.75,"A - likely reliable",IF(O77&gt;=0.5,"B - review carefully",IF(O77&gt;=0.25,"C - low trust","D - reject/re-extract")))</f>
        <v>B - review carefully</v>
      </c>
      <c r="Q77" s="2" t="s">
        <v>283</v>
      </c>
    </row>
    <row r="78" customFormat="false" ht="23.85" hidden="false" customHeight="false" outlineLevel="0" collapsed="false">
      <c r="A78" s="2" t="s">
        <v>290</v>
      </c>
      <c r="B78" s="2" t="s">
        <v>18</v>
      </c>
      <c r="C78" s="2" t="s">
        <v>19</v>
      </c>
      <c r="D78" s="2" t="s">
        <v>291</v>
      </c>
      <c r="E78" s="2" t="s">
        <v>292</v>
      </c>
      <c r="F78" s="2" t="s">
        <v>22</v>
      </c>
      <c r="G78" s="2" t="n">
        <f aca="false">IF(F78="FOUND",1,IF(F78="PARTIAL",0.5,0))</f>
        <v>1</v>
      </c>
      <c r="H78" s="2" t="n">
        <v>1</v>
      </c>
      <c r="I78" s="2" t="n">
        <f aca="false">H78*1</f>
        <v>1</v>
      </c>
      <c r="J78" s="2" t="n">
        <v>0</v>
      </c>
      <c r="K78" s="2"/>
      <c r="L78" s="2" t="n">
        <f aca="false">IF(J78=1,0,1)</f>
        <v>1</v>
      </c>
      <c r="M78" s="2" t="n">
        <v>0</v>
      </c>
      <c r="N78" s="2" t="n">
        <f aca="false">M78*1</f>
        <v>0</v>
      </c>
      <c r="O78" s="3" t="n">
        <f aca="false">ROUND(G78*0.25+I78*0.15+L78*0.25+N78*0.35,2)</f>
        <v>0.65</v>
      </c>
      <c r="P78" s="2" t="str">
        <f aca="false">IF(O78&gt;=0.75,"A - likely reliable",IF(O78&gt;=0.5,"B - review carefully",IF(O78&gt;=0.25,"C - low trust","D - reject/re-extract")))</f>
        <v>B - review carefully</v>
      </c>
      <c r="Q78" s="2" t="s">
        <v>293</v>
      </c>
    </row>
  </sheetData>
  <conditionalFormatting sqref="O2:O78">
    <cfRule type="cellIs" priority="2" operator="greaterThanOrEqual" aboveAverage="0" equalAverage="0" bottom="0" percent="0" rank="0" text="" dxfId="0">
      <formula>0.75</formula>
    </cfRule>
    <cfRule type="cellIs" priority="3" operator="between" aboveAverage="0" equalAverage="0" bottom="0" percent="0" rank="0" text="" dxfId="1">
      <formula>0.5</formula>
      <formula>0.749</formula>
    </cfRule>
    <cfRule type="cellIs" priority="4" operator="lessThan" aboveAverage="0" equalAverage="0" bottom="0" percent="0" rank="0" text="" dxfId="2">
      <formula>0.5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4" t="s">
        <v>294</v>
      </c>
    </row>
    <row r="3" customFormat="false" ht="15" hidden="false" customHeight="false" outlineLevel="0" collapsed="false">
      <c r="A3" s="5" t="s">
        <v>295</v>
      </c>
      <c r="B3" s="5" t="s">
        <v>296</v>
      </c>
      <c r="C3" s="5" t="s">
        <v>297</v>
      </c>
    </row>
    <row r="4" customFormat="false" ht="15" hidden="false" customHeight="false" outlineLevel="0" collapsed="false">
      <c r="A4" s="6" t="s">
        <v>6</v>
      </c>
      <c r="B4" s="6" t="s">
        <v>298</v>
      </c>
      <c r="C4" s="6" t="s">
        <v>299</v>
      </c>
    </row>
    <row r="5" customFormat="false" ht="15" hidden="false" customHeight="false" outlineLevel="0" collapsed="false">
      <c r="A5" s="6" t="s">
        <v>8</v>
      </c>
      <c r="B5" s="6" t="s">
        <v>300</v>
      </c>
      <c r="C5" s="6" t="s">
        <v>301</v>
      </c>
    </row>
    <row r="6" customFormat="false" ht="15" hidden="false" customHeight="false" outlineLevel="0" collapsed="false">
      <c r="A6" s="6" t="s">
        <v>11</v>
      </c>
      <c r="B6" s="6" t="s">
        <v>298</v>
      </c>
      <c r="C6" s="6" t="s">
        <v>302</v>
      </c>
    </row>
    <row r="7" customFormat="false" ht="15" hidden="false" customHeight="false" outlineLevel="0" collapsed="false">
      <c r="A7" s="6" t="s">
        <v>13</v>
      </c>
      <c r="B7" s="6" t="s">
        <v>303</v>
      </c>
      <c r="C7" s="6" t="s">
        <v>304</v>
      </c>
    </row>
    <row r="9" customFormat="false" ht="15" hidden="false" customHeight="false" outlineLevel="0" collapsed="false">
      <c r="A9" s="4" t="s">
        <v>305</v>
      </c>
    </row>
    <row r="10" customFormat="false" ht="15" hidden="false" customHeight="false" outlineLevel="0" collapsed="false">
      <c r="A10" s="5" t="s">
        <v>306</v>
      </c>
      <c r="B10" s="5" t="s">
        <v>307</v>
      </c>
      <c r="C10" s="5" t="s">
        <v>308</v>
      </c>
    </row>
    <row r="11" customFormat="false" ht="15" hidden="false" customHeight="false" outlineLevel="0" collapsed="false">
      <c r="A11" s="6" t="s">
        <v>309</v>
      </c>
      <c r="B11" s="6" t="s">
        <v>310</v>
      </c>
      <c r="C11" s="6" t="s">
        <v>311</v>
      </c>
    </row>
    <row r="12" customFormat="false" ht="15" hidden="false" customHeight="false" outlineLevel="0" collapsed="false">
      <c r="A12" s="6" t="s">
        <v>312</v>
      </c>
      <c r="B12" s="6" t="s">
        <v>313</v>
      </c>
      <c r="C12" s="6" t="s">
        <v>314</v>
      </c>
    </row>
    <row r="13" customFormat="false" ht="15" hidden="false" customHeight="false" outlineLevel="0" collapsed="false">
      <c r="A13" s="6" t="s">
        <v>315</v>
      </c>
      <c r="B13" s="6" t="s">
        <v>316</v>
      </c>
      <c r="C13" s="6" t="s">
        <v>317</v>
      </c>
    </row>
    <row r="14" customFormat="false" ht="15" hidden="false" customHeight="false" outlineLevel="0" collapsed="false">
      <c r="A14" s="6" t="s">
        <v>318</v>
      </c>
      <c r="B14" s="6" t="s">
        <v>319</v>
      </c>
      <c r="C14" s="6" t="s">
        <v>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2026-08-02T18:22:14Z</dcterms:created>
  <dc:creator>openpyxl</dc:creator>
  <dc:description/>
  <dc:language>en-US</dc:language>
  <cp:lastModifiedBy/>
  <dcterms:modified xsi:type="dcterms:W3CDTF">2026-08-02T18:22:14Z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